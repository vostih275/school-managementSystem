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0455" windowHeight="4635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1">Sheet2!$A$1:$AA$43</definedName>
  </definedNames>
  <calcPr calcId="124519"/>
</workbook>
</file>

<file path=xl/calcChain.xml><?xml version="1.0" encoding="utf-8"?>
<calcChain xmlns="http://schemas.openxmlformats.org/spreadsheetml/2006/main">
  <c r="W9" i="2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X40"/>
  <c r="X41"/>
  <c r="X42"/>
  <c r="X37"/>
  <c r="X38"/>
  <c r="X39"/>
  <c r="G8"/>
  <c r="I8"/>
  <c r="K8"/>
  <c r="M8"/>
  <c r="O8"/>
  <c r="Q8"/>
  <c r="S8"/>
  <c r="U8"/>
  <c r="W8"/>
  <c r="X36" l="1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AA10" s="1"/>
  <c r="X9"/>
  <c r="Y8"/>
  <c r="Z8" s="1"/>
  <c r="AA38" l="1"/>
  <c r="AA12"/>
  <c r="AA14"/>
  <c r="AA16"/>
  <c r="AA18"/>
  <c r="AA20"/>
  <c r="AA22"/>
  <c r="AA24"/>
  <c r="AA26"/>
  <c r="AA28"/>
  <c r="AA30"/>
  <c r="AA32"/>
  <c r="AA34"/>
  <c r="AA36"/>
  <c r="AA37"/>
  <c r="AA40"/>
  <c r="AA9"/>
  <c r="AA8"/>
  <c r="AA11"/>
  <c r="AA13"/>
  <c r="AA15"/>
  <c r="AA17"/>
  <c r="AA19"/>
  <c r="AA21"/>
  <c r="AA23"/>
  <c r="AA25"/>
  <c r="AA27"/>
  <c r="AA29"/>
  <c r="AA31"/>
  <c r="AA33"/>
  <c r="AA35"/>
  <c r="AA41"/>
  <c r="AA39"/>
  <c r="AA42"/>
  <c r="X8"/>
</calcChain>
</file>

<file path=xl/sharedStrings.xml><?xml version="1.0" encoding="utf-8"?>
<sst xmlns="http://schemas.openxmlformats.org/spreadsheetml/2006/main" count="96" uniqueCount="88">
  <si>
    <t>NAME</t>
  </si>
  <si>
    <t>ENG</t>
  </si>
  <si>
    <t>KIS</t>
  </si>
  <si>
    <t>SST</t>
  </si>
  <si>
    <t>TOTAL</t>
  </si>
  <si>
    <t>LEVEL</t>
  </si>
  <si>
    <t>POS.</t>
  </si>
  <si>
    <t>AG.P</t>
  </si>
  <si>
    <t>L.P</t>
  </si>
  <si>
    <t>C.A.S</t>
  </si>
  <si>
    <t>PRE</t>
  </si>
  <si>
    <t>PAPER</t>
  </si>
  <si>
    <t>CODE</t>
  </si>
  <si>
    <t>ASS. NO</t>
  </si>
  <si>
    <t>SELINA  ATABO</t>
  </si>
  <si>
    <t>B000524586</t>
  </si>
  <si>
    <t>JOYCE LOSIA</t>
  </si>
  <si>
    <t xml:space="preserve">SHEILA NAPEYOK </t>
  </si>
  <si>
    <t>ABIGAEL LOKAALE</t>
  </si>
  <si>
    <t>MELVIN NANOK</t>
  </si>
  <si>
    <t>SARAH  ADAPAL</t>
  </si>
  <si>
    <t>SUSA AYANAE</t>
  </si>
  <si>
    <t>WILKISTER KAPOKO</t>
  </si>
  <si>
    <t>NANCY  AKUYEN</t>
  </si>
  <si>
    <t>LILIAN  AKALALE</t>
  </si>
  <si>
    <t>B000128722</t>
  </si>
  <si>
    <t>JOY LOKUTA</t>
  </si>
  <si>
    <t>NAJMA ADAN</t>
  </si>
  <si>
    <t>PURITY EKUWAM</t>
  </si>
  <si>
    <t>WINNY CHEGEM</t>
  </si>
  <si>
    <t>EMILY AKAMAIS</t>
  </si>
  <si>
    <t>NAOMI  NANG'EYO</t>
  </si>
  <si>
    <t>ANNET EDOKET</t>
  </si>
  <si>
    <t>SHARON LOKWALEM</t>
  </si>
  <si>
    <t>ZIMPROSE  AKIRU</t>
  </si>
  <si>
    <t>FRIDAH AMANIKOR</t>
  </si>
  <si>
    <t>JULIET  EKUWAM</t>
  </si>
  <si>
    <t>LYDIAH  CHUPO</t>
  </si>
  <si>
    <t>VIVIAN LOSIKIRIA</t>
  </si>
  <si>
    <t>FAITH TAWOI</t>
  </si>
  <si>
    <t>NAOMI NAFULA</t>
  </si>
  <si>
    <t>CONSOLATA NAEKU</t>
  </si>
  <si>
    <t>SYLVIA LOKOL</t>
  </si>
  <si>
    <t>LILIAN  ANAM</t>
  </si>
  <si>
    <t>ASHLY   JUMA</t>
  </si>
  <si>
    <t>B000520573</t>
  </si>
  <si>
    <t>B000520246</t>
  </si>
  <si>
    <t>B00522329</t>
  </si>
  <si>
    <t>DORCAS  LOWASA</t>
  </si>
  <si>
    <t>B000454805</t>
  </si>
  <si>
    <t>B000054777</t>
  </si>
  <si>
    <t>B000494566</t>
  </si>
  <si>
    <t>B000376112</t>
  </si>
  <si>
    <t>B0000521131</t>
  </si>
  <si>
    <t>B000521407</t>
  </si>
  <si>
    <t>B000519130</t>
  </si>
  <si>
    <t>B000521628</t>
  </si>
  <si>
    <t>S/NO</t>
  </si>
  <si>
    <t>B000519990</t>
  </si>
  <si>
    <t>RITAH LARISSA</t>
  </si>
  <si>
    <t>B000520294</t>
  </si>
  <si>
    <t>B000524650</t>
  </si>
  <si>
    <t>B000526396</t>
  </si>
  <si>
    <t>B000521303</t>
  </si>
  <si>
    <t>B004152196</t>
  </si>
  <si>
    <t>JANET   AWAAR</t>
  </si>
  <si>
    <t>B003221444</t>
  </si>
  <si>
    <t>PENNINAH  ALEPER</t>
  </si>
  <si>
    <t>B000520460</t>
  </si>
  <si>
    <t>ROGE   JILLO ALI</t>
  </si>
  <si>
    <t>B001430260</t>
  </si>
  <si>
    <t>B000454958</t>
  </si>
  <si>
    <t>B000454888</t>
  </si>
  <si>
    <t>B000522550</t>
  </si>
  <si>
    <t>B000522382</t>
  </si>
  <si>
    <t>B000523488</t>
  </si>
  <si>
    <t>B000524201</t>
  </si>
  <si>
    <t>B000521489</t>
  </si>
  <si>
    <t>B000520109</t>
  </si>
  <si>
    <t>B000522952</t>
  </si>
  <si>
    <t>B000425582</t>
  </si>
  <si>
    <t>B000519229</t>
  </si>
  <si>
    <t>B000519381</t>
  </si>
  <si>
    <t>MAT</t>
  </si>
  <si>
    <t>SCIE</t>
  </si>
  <si>
    <t>AGR</t>
  </si>
  <si>
    <t>CRE</t>
  </si>
  <si>
    <t>MELVINE ITAO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</si>
</sst>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charset val="1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sz val="28"/>
      <color theme="1"/>
      <name val="Calibri"/>
      <family val="2"/>
      <charset val="1"/>
      <scheme val="minor"/>
    </font>
    <font>
      <b/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8"/>
      <color theme="1"/>
      <name val="Times New Roman"/>
      <family val="1"/>
    </font>
    <font>
      <b/>
      <sz val="28"/>
      <color rgb="FF00B0F0"/>
      <name val="Times New Roman"/>
      <family val="1"/>
    </font>
    <font>
      <sz val="28"/>
      <color theme="1"/>
      <name val="Calibri"/>
      <family val="2"/>
      <scheme val="minor"/>
    </font>
    <font>
      <sz val="28"/>
      <color theme="1"/>
      <name val="Times New Roman"/>
      <family val="1"/>
    </font>
    <font>
      <sz val="28"/>
      <color theme="1"/>
      <name val="System"/>
      <family val="2"/>
    </font>
    <font>
      <b/>
      <i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10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4" fontId="13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top"/>
    </xf>
    <xf numFmtId="0" fontId="10" fillId="2" borderId="3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9" fillId="2" borderId="4" xfId="0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457199</xdr:colOff>
      <xdr:row>0</xdr:row>
      <xdr:rowOff>28575</xdr:rowOff>
    </xdr:from>
    <xdr:ext cx="11934287" cy="530658"/>
    <xdr:sp macro="" textlink="">
      <xdr:nvSpPr>
        <xdr:cNvPr id="4" name="Rectangle 3"/>
        <xdr:cNvSpPr/>
      </xdr:nvSpPr>
      <xdr:spPr>
        <a:xfrm>
          <a:off x="7726751" y="28575"/>
          <a:ext cx="11934287" cy="530658"/>
        </a:xfrm>
        <a:prstGeom prst="rect">
          <a:avLst/>
        </a:prstGeom>
        <a:solidFill>
          <a:srgbClr val="00B050"/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28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AIC</a:t>
          </a:r>
          <a:r>
            <a:rPr lang="en-US" sz="2800" b="1" cap="none" spc="0" baseline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LOKI GIRLS</a:t>
          </a:r>
          <a:r>
            <a:rPr lang="en-US" sz="2800" b="1" cap="none" spc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ASSESSMENT  GRADE</a:t>
          </a:r>
          <a:r>
            <a:rPr lang="en-US" sz="2800" b="1" cap="none" spc="0" baseline="0">
              <a:ln w="19050">
                <a:solidFill>
                  <a:schemeClr val="tx2">
                    <a:tint val="1000"/>
                  </a:schemeClr>
                </a:solidFill>
                <a:prstDash val="solid"/>
              </a:ln>
              <a:solidFill>
                <a:schemeClr val="accent3"/>
              </a:solidFill>
              <a:effectLst>
                <a:outerShdw blurRad="50000" dist="50800" dir="7500000" algn="tl">
                  <a:srgbClr val="000000">
                    <a:shade val="5000"/>
                    <a:alpha val="35000"/>
                  </a:srgbClr>
                </a:outerShdw>
              </a:effectLst>
            </a:rPr>
            <a:t> 9  CAT 1 TERM 2 RESULTS ANALYSIS 2026</a:t>
          </a:r>
          <a:endParaRPr lang="en-US" sz="2800" b="1" cap="none" spc="0">
            <a:ln w="19050">
              <a:solidFill>
                <a:schemeClr val="tx2">
                  <a:tint val="1000"/>
                </a:schemeClr>
              </a:solidFill>
              <a:prstDash val="solid"/>
            </a:ln>
            <a:solidFill>
              <a:schemeClr val="accent3"/>
            </a:solidFill>
            <a:effectLst>
              <a:outerShdw blurRad="50000" dist="50800" dir="7500000" algn="tl">
                <a:srgbClr val="000000">
                  <a:shade val="5000"/>
                  <a:alpha val="35000"/>
                </a:srgbClr>
              </a:outerShdw>
            </a:effectLst>
          </a:endParaRPr>
        </a:p>
      </xdr:txBody>
    </xdr:sp>
    <xdr:clientData/>
  </xdr:oneCellAnchor>
  <xdr:oneCellAnchor>
    <xdr:from>
      <xdr:col>8</xdr:col>
      <xdr:colOff>62900</xdr:colOff>
      <xdr:row>51</xdr:row>
      <xdr:rowOff>161745</xdr:rowOff>
    </xdr:from>
    <xdr:ext cx="9069777" cy="4522264"/>
    <xdr:sp macro="" textlink="">
      <xdr:nvSpPr>
        <xdr:cNvPr id="3" name="TextBox 2"/>
        <xdr:cNvSpPr txBox="1"/>
      </xdr:nvSpPr>
      <xdr:spPr>
        <a:xfrm>
          <a:off x="10405612" y="20928042"/>
          <a:ext cx="9069777" cy="452226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GB" sz="1100" b="1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                                                                                     </a:t>
          </a:r>
          <a:r>
            <a:rPr lang="en-GB" sz="1600" b="1" u="sng">
              <a:solidFill>
                <a:schemeClr val="tx1"/>
              </a:solidFill>
              <a:latin typeface="+mn-lt"/>
              <a:ea typeface="+mn-ea"/>
              <a:cs typeface="+mn-cs"/>
            </a:rPr>
            <a:t>OVERALL GRADING SCALE:</a:t>
          </a:r>
        </a:p>
        <a:p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 01-113 (BE2), 114-226 (BE-1), 227-339 (AE-2), 340-452 (AE-1), 453-565(ME-2), 566-678(ME-1), 679-791(EE-2), 792-900(EE-1) and [----] MISSED ASSESSMENT.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                                                             </a:t>
          </a:r>
          <a:r>
            <a:rPr lang="en-GB" sz="1600" b="1" u="sng">
              <a:solidFill>
                <a:schemeClr val="tx1"/>
              </a:solidFill>
              <a:latin typeface="+mn-lt"/>
              <a:ea typeface="+mn-ea"/>
              <a:cs typeface="+mn-cs"/>
            </a:rPr>
            <a:t>KJSEA GRADING SCALE PER LEARNING AREA (%)                     </a:t>
          </a:r>
          <a:endParaRPr lang="en-GB" sz="16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                  01-10 --- [0.5]- BE (2)                 11-20--- [1.0]-BE (1) –BELOW EXPECTATION                                                                                                                                               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                  21- 30--- [1.5]-AE (2)                  31-40--- [2.0]-AE (1)—APPROACHING EXPECTATION                                                                       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                  41-57--- [2.5]-ME (2)                  58-74--- [3.0]-ME (1)--MEETING EXPECTATION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                  75-89--- [3.5]-EE (2)                    90-99--- [4.0]-ME (1) – EXCEEDING EXPECTATION</a:t>
          </a:r>
        </a:p>
        <a:p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                  </a:t>
          </a:r>
        </a:p>
        <a:p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EE1 90-100</a:t>
          </a:r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- (8 POINTS)  EXCEPTIONAL                                              AE1 31-40 - (4 POINTS)   NEED IMPROVEMENT</a:t>
          </a:r>
        </a:p>
        <a:p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EE2  75-89   - (7POINTS)   VERY GOOD                                                 AE2  21-30 - ( 3 POINTS)  BELOW AVERAGE </a:t>
          </a:r>
        </a:p>
        <a:p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ME1  58-74 - (6 POINTS)     GOOD                                                         BE1  11-20 - ( 2 POINTS)   WELL BELOW AVERAGE</a:t>
          </a:r>
        </a:p>
        <a:p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ME2   41-57 -(5 POINTS)    FAIR                                                             BE2   01-10 - (1 POINT)    MINIMAL</a:t>
          </a:r>
          <a:endParaRPr lang="en-US" sz="16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GB" sz="1600" b="1">
              <a:solidFill>
                <a:schemeClr val="tx1"/>
              </a:solidFill>
              <a:latin typeface="+mn-lt"/>
              <a:ea typeface="+mn-ea"/>
              <a:cs typeface="+mn-cs"/>
            </a:rPr>
            <a:t> </a:t>
          </a:r>
          <a:endParaRPr lang="en-US" sz="1600" b="1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4:AC61"/>
  <sheetViews>
    <sheetView tabSelected="1" view="pageBreakPreview" topLeftCell="P1" zoomScale="106" zoomScaleSheetLayoutView="106" workbookViewId="0">
      <pane xSplit="23580" topLeftCell="X1"/>
      <selection activeCell="AB5" sqref="AB5"/>
      <selection pane="topRight" activeCell="X1" sqref="X1"/>
    </sheetView>
  </sheetViews>
  <sheetFormatPr defaultRowHeight="15"/>
  <cols>
    <col min="2" max="2" width="13.7109375" customWidth="1"/>
    <col min="3" max="3" width="17.7109375" customWidth="1"/>
    <col min="4" max="4" width="32.5703125" customWidth="1"/>
    <col min="5" max="5" width="35.85546875" customWidth="1"/>
    <col min="6" max="6" width="18.28515625" customWidth="1"/>
    <col min="8" max="8" width="18.5703125" customWidth="1"/>
    <col min="10" max="10" width="17.7109375" customWidth="1"/>
    <col min="12" max="12" width="18.28515625" customWidth="1"/>
    <col min="14" max="14" width="19.85546875" customWidth="1"/>
    <col min="16" max="16" width="18.7109375" customWidth="1"/>
    <col min="18" max="18" width="19.28515625" customWidth="1"/>
    <col min="20" max="20" width="19.140625" customWidth="1"/>
    <col min="22" max="22" width="19" customWidth="1"/>
    <col min="24" max="24" width="21.85546875" customWidth="1"/>
    <col min="25" max="25" width="21" customWidth="1"/>
    <col min="26" max="26" width="20.140625" customWidth="1"/>
    <col min="27" max="27" width="13" customWidth="1"/>
  </cols>
  <sheetData>
    <row r="4" spans="2:29"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2:29" ht="36">
      <c r="B5" s="7"/>
      <c r="C5" s="8" t="s">
        <v>11</v>
      </c>
      <c r="D5" s="8" t="s">
        <v>12</v>
      </c>
      <c r="E5" s="8"/>
      <c r="F5" s="9">
        <v>901</v>
      </c>
      <c r="G5" s="9"/>
      <c r="H5" s="9">
        <v>902</v>
      </c>
      <c r="I5" s="9"/>
      <c r="J5" s="9">
        <v>903</v>
      </c>
      <c r="K5" s="9"/>
      <c r="L5" s="9">
        <v>905</v>
      </c>
      <c r="M5" s="9"/>
      <c r="N5" s="9">
        <v>906</v>
      </c>
      <c r="O5" s="9"/>
      <c r="P5" s="9">
        <v>907</v>
      </c>
      <c r="Q5" s="9"/>
      <c r="R5" s="9">
        <v>908</v>
      </c>
      <c r="S5" s="9"/>
      <c r="T5" s="9">
        <v>911</v>
      </c>
      <c r="U5" s="9"/>
      <c r="V5" s="9">
        <v>912</v>
      </c>
      <c r="W5" s="7"/>
      <c r="X5" s="20" t="s">
        <v>4</v>
      </c>
      <c r="Y5" s="22" t="s">
        <v>7</v>
      </c>
      <c r="Z5" s="22" t="s">
        <v>5</v>
      </c>
      <c r="AA5" s="22" t="s">
        <v>6</v>
      </c>
      <c r="AB5" s="7"/>
      <c r="AC5" s="6"/>
    </row>
    <row r="6" spans="2:29" ht="36">
      <c r="B6" s="7"/>
      <c r="C6" s="24" t="s">
        <v>0</v>
      </c>
      <c r="D6" s="25"/>
      <c r="E6" s="10" t="s">
        <v>13</v>
      </c>
      <c r="F6" s="11" t="s">
        <v>1</v>
      </c>
      <c r="G6" s="11" t="s">
        <v>8</v>
      </c>
      <c r="H6" s="11" t="s">
        <v>2</v>
      </c>
      <c r="I6" s="11" t="s">
        <v>8</v>
      </c>
      <c r="J6" s="11" t="s">
        <v>83</v>
      </c>
      <c r="K6" s="11" t="s">
        <v>8</v>
      </c>
      <c r="L6" s="11" t="s">
        <v>84</v>
      </c>
      <c r="M6" s="11" t="s">
        <v>8</v>
      </c>
      <c r="N6" s="11" t="s">
        <v>85</v>
      </c>
      <c r="O6" s="11" t="s">
        <v>8</v>
      </c>
      <c r="P6" s="11" t="s">
        <v>3</v>
      </c>
      <c r="Q6" s="11" t="s">
        <v>8</v>
      </c>
      <c r="R6" s="11" t="s">
        <v>86</v>
      </c>
      <c r="S6" s="11" t="s">
        <v>8</v>
      </c>
      <c r="T6" s="11" t="s">
        <v>9</v>
      </c>
      <c r="U6" s="11" t="s">
        <v>8</v>
      </c>
      <c r="V6" s="11" t="s">
        <v>10</v>
      </c>
      <c r="W6" s="11" t="s">
        <v>8</v>
      </c>
      <c r="X6" s="21"/>
      <c r="Y6" s="23"/>
      <c r="Z6" s="23"/>
      <c r="AA6" s="23"/>
      <c r="AB6" s="7"/>
      <c r="AC6" s="6"/>
    </row>
    <row r="7" spans="2:29" ht="36">
      <c r="B7" s="8" t="s">
        <v>57</v>
      </c>
      <c r="C7" s="26"/>
      <c r="D7" s="27"/>
      <c r="E7" s="10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0"/>
      <c r="Z7" s="10"/>
      <c r="AA7" s="10"/>
      <c r="AB7" s="7"/>
      <c r="AC7" s="6"/>
    </row>
    <row r="8" spans="2:29" ht="37.5">
      <c r="B8" s="13">
        <v>1</v>
      </c>
      <c r="C8" s="8" t="s">
        <v>14</v>
      </c>
      <c r="D8" s="8"/>
      <c r="E8" s="14" t="s">
        <v>81</v>
      </c>
      <c r="F8" s="15">
        <v>83</v>
      </c>
      <c r="G8" s="16" t="str">
        <f>IF(F8&gt;=90,"8",IF(F8&gt;=75,"7",IF(F8&gt;=58,"6",IF(F8&gt;=41,"5",IF(F8&gt;=31,"4",IF(F8&gt;=21,"3",IF(F8&gt;=11,"2",IF(F8&lt;=10,"1",))))))))</f>
        <v>7</v>
      </c>
      <c r="H8" s="15">
        <v>92</v>
      </c>
      <c r="I8" s="16" t="str">
        <f>IF(H8&gt;=90,"8",IF(H8&gt;=75,"7",IF(H8&gt;=58,"6",IF(H8&gt;=41,"5",IF(H8&gt;=31,"4",IF(H8&gt;=21,"3",IF(H8&gt;=11,"2",IF(H8&lt;=10,"1",))))))))</f>
        <v>8</v>
      </c>
      <c r="J8" s="15">
        <v>65</v>
      </c>
      <c r="K8" s="16" t="str">
        <f>IF(J8&gt;=90,"8",IF(J8&gt;=75,"7",IF(J8&gt;=58,"6",IF(J8&gt;=41,"5",IF(J8&gt;=31,"4",IF(J8&gt;=21,"3",IF(J8&gt;=11,"2",IF(J8&lt;=10,"1",))))))))</f>
        <v>6</v>
      </c>
      <c r="L8" s="15">
        <v>76</v>
      </c>
      <c r="M8" s="16" t="str">
        <f>IF(L8&gt;=90,"8",IF(L8&gt;=75,"7",IF(L8&gt;=58,"6",IF(L8&gt;=41,"5",IF(L8&gt;=31,"4",IF(L8&gt;=21,"3",IF(L8&gt;=11,"2",IF(L8&lt;=10,"1",))))))))</f>
        <v>7</v>
      </c>
      <c r="N8" s="15">
        <v>90</v>
      </c>
      <c r="O8" s="16" t="str">
        <f>IF(N8&gt;=90,"8",IF(N8&gt;=75,"7",IF(N8&gt;=58,"6",IF(N8&gt;=41,"5",IF(N8&gt;=31,"4",IF(N8&gt;=21,"3",IF(N8&gt;=11,"2",IF(N8&lt;=10,"1",))))))))</f>
        <v>8</v>
      </c>
      <c r="P8" s="15">
        <v>82</v>
      </c>
      <c r="Q8" s="16" t="str">
        <f>IF(P8&gt;=90,"8",IF(P8&gt;=75,"7",IF(P8&gt;=58,"6",IF(P8&gt;=41,"5",IF(P8&gt;=31,"4",IF(P8&gt;=21,"3",IF(P8&gt;=11,"2",IF(P8&lt;=10,"1",))))))))</f>
        <v>7</v>
      </c>
      <c r="R8" s="15">
        <v>91</v>
      </c>
      <c r="S8" s="16" t="str">
        <f>IF(R8&gt;=90,"8",IF(R8&gt;=75,"7",IF(R8&gt;=58,"6",IF(R8&gt;=41,"5",IF(R8&gt;=31,"4",IF(R8&gt;=21,"3",IF(R8&gt;=11,"2",IF(R8&lt;=10,"1",))))))))</f>
        <v>8</v>
      </c>
      <c r="T8" s="15">
        <v>81</v>
      </c>
      <c r="U8" s="16" t="str">
        <f>IF(T8&gt;=90,"8",IF(T8&gt;=75,"7",IF(T8&gt;=58,"6",IF(T8&gt;=41,"5",IF(T8&gt;=31,"4",IF(T8&gt;=21,"3",IF(T8&gt;=11,"2",IF(T8&lt;=10,"1",))))))))</f>
        <v>7</v>
      </c>
      <c r="V8" s="15">
        <v>82</v>
      </c>
      <c r="W8" s="16" t="str">
        <f>IF(V8&gt;=90,"8",IF(V8&gt;=75,"7",IF(V8&gt;=58,"6",IF(V8&gt;=41,"5",IF(V8&gt;=31,"4",IF(V8&gt;=21,"3",IF(V8&gt;=11,"2",IF(V8&lt;=10,"1",))))))))</f>
        <v>7</v>
      </c>
      <c r="X8" s="16">
        <f>SUM(F8:V8)</f>
        <v>742</v>
      </c>
      <c r="Y8" s="17">
        <f>G8+I8+K8+M8+O8+Q8+S8+W8+U8</f>
        <v>65</v>
      </c>
      <c r="Z8" s="18" t="str">
        <f>IF(Y8&gt;=63,"E.E 1",IF(Y8&gt;=54,"E.E 2",IF(Y8&gt;=45,"M.E 1",IF(Y8&gt;=36,"M.E 2",IF(Y8&gt;=27,"A.E 1",IF(Y8&gt;=18,"A.E 2",IF(Y8&gt;=9,"B.E 1",IF(Y8&lt;=8,"B.E 2",))))))))</f>
        <v>E.E 1</v>
      </c>
      <c r="AA8" s="19">
        <f>RANK(X8,$X$8:$X$42)</f>
        <v>1</v>
      </c>
      <c r="AB8" s="7"/>
      <c r="AC8" s="6"/>
    </row>
    <row r="9" spans="2:29" ht="37.5">
      <c r="B9" s="13">
        <v>2</v>
      </c>
      <c r="C9" s="8" t="s">
        <v>59</v>
      </c>
      <c r="D9" s="8"/>
      <c r="E9" s="14" t="s">
        <v>80</v>
      </c>
      <c r="F9" s="15">
        <v>80</v>
      </c>
      <c r="G9" s="16" t="str">
        <f t="shared" ref="G9:G43" si="0">IF(F9&gt;=90,"8",IF(F9&gt;=75,"7",IF(F9&gt;=58,"6",IF(F9&gt;=41,"5",IF(F9&gt;=31,"4",IF(F9&gt;=21,"3",IF(F9&gt;=11,"2",IF(F9&lt;=10,"1",))))))))</f>
        <v>7</v>
      </c>
      <c r="H9" s="15">
        <v>80</v>
      </c>
      <c r="I9" s="16" t="str">
        <f t="shared" ref="I9:I42" si="1">IF(H9&gt;=90,"8",IF(H9&gt;=75,"7",IF(H9&gt;=58,"6",IF(H9&gt;=41,"5",IF(H9&gt;=31,"4",IF(H9&gt;=21,"3",IF(H9&gt;=11,"2",IF(H9&lt;=10,"1",))))))))</f>
        <v>7</v>
      </c>
      <c r="J9" s="15">
        <v>40</v>
      </c>
      <c r="K9" s="16" t="str">
        <f t="shared" ref="K9:K42" si="2">IF(J9&gt;=90,"8",IF(J9&gt;=75,"7",IF(J9&gt;=58,"6",IF(J9&gt;=41,"5",IF(J9&gt;=31,"4",IF(J9&gt;=21,"3",IF(J9&gt;=11,"2",IF(J9&lt;=10,"1",))))))))</f>
        <v>4</v>
      </c>
      <c r="L9" s="15">
        <v>66</v>
      </c>
      <c r="M9" s="16" t="str">
        <f t="shared" ref="M9:M42" si="3">IF(L9&gt;=90,"8",IF(L9&gt;=75,"7",IF(L9&gt;=58,"6",IF(L9&gt;=41,"5",IF(L9&gt;=31,"4",IF(L9&gt;=21,"3",IF(L9&gt;=11,"2",IF(L9&lt;=10,"1",))))))))</f>
        <v>6</v>
      </c>
      <c r="N9" s="15">
        <v>90</v>
      </c>
      <c r="O9" s="16" t="str">
        <f t="shared" ref="O9:O42" si="4">IF(N9&gt;=90,"8",IF(N9&gt;=75,"7",IF(N9&gt;=58,"6",IF(N9&gt;=41,"5",IF(N9&gt;=31,"4",IF(N9&gt;=21,"3",IF(N9&gt;=11,"2",IF(N9&lt;=10,"1",))))))))</f>
        <v>8</v>
      </c>
      <c r="P9" s="15">
        <v>66</v>
      </c>
      <c r="Q9" s="16" t="str">
        <f t="shared" ref="Q9:Q42" si="5">IF(P9&gt;=90,"8",IF(P9&gt;=75,"7",IF(P9&gt;=58,"6",IF(P9&gt;=41,"5",IF(P9&gt;=31,"4",IF(P9&gt;=21,"3",IF(P9&gt;=11,"2",IF(P9&lt;=10,"1",))))))))</f>
        <v>6</v>
      </c>
      <c r="R9" s="15">
        <v>71</v>
      </c>
      <c r="S9" s="16" t="str">
        <f t="shared" ref="S9:S42" si="6">IF(R9&gt;=90,"8",IF(R9&gt;=75,"7",IF(R9&gt;=58,"6",IF(R9&gt;=41,"5",IF(R9&gt;=31,"4",IF(R9&gt;=21,"3",IF(R9&gt;=11,"2",IF(R9&lt;=10,"1",))))))))</f>
        <v>6</v>
      </c>
      <c r="T9" s="15">
        <v>70</v>
      </c>
      <c r="U9" s="16" t="str">
        <f t="shared" ref="U9:U42" si="7">IF(T9&gt;=90,"8",IF(T9&gt;=75,"7",IF(T9&gt;=58,"6",IF(T9&gt;=41,"5",IF(T9&gt;=31,"4",IF(T9&gt;=21,"3",IF(T9&gt;=11,"2",IF(T9&lt;=10,"1",))))))))</f>
        <v>6</v>
      </c>
      <c r="V9" s="15">
        <v>74</v>
      </c>
      <c r="W9" s="16" t="str">
        <f t="shared" ref="W9:W42" si="8">IF(V9&gt;=90,"8",IF(V9&gt;=75,"7",IF(V9&gt;=58,"6",IF(V9&gt;=41,"5",IF(V9&gt;=31,"4",IF(V9&gt;=21,"3",IF(V9&gt;=11,"2",IF(V9&lt;=10,"1",))))))))</f>
        <v>6</v>
      </c>
      <c r="X9" s="16">
        <f t="shared" ref="X9:X42" si="9">SUM(F9:V9)</f>
        <v>637</v>
      </c>
      <c r="Y9" s="17">
        <f t="shared" ref="Y9:Y42" si="10">G9+I9+K9+M9+O9+Q9+S9+W9+U9</f>
        <v>56</v>
      </c>
      <c r="Z9" s="18" t="str">
        <f t="shared" ref="Z9:Z42" si="11">IF(Y9&gt;=63,"E.E 1",IF(Y9&gt;=54,"E.E 2",IF(Y9&gt;=45,"M.E 1",IF(Y9&gt;=36,"M.E 2",IF(Y9&gt;=27,"A.E 1",IF(Y9&gt;=18,"A.E 2",IF(Y9&gt;=9,"B.E 1",IF(Y9&lt;=8,"B.E 2",))))))))</f>
        <v>E.E 2</v>
      </c>
      <c r="AA9" s="19">
        <f t="shared" ref="AA9:AA42" si="12">RANK(X9,$X$8:$X$42)</f>
        <v>3</v>
      </c>
      <c r="AB9" s="7"/>
      <c r="AC9" s="6"/>
    </row>
    <row r="10" spans="2:29" ht="37.5">
      <c r="B10" s="13">
        <v>3</v>
      </c>
      <c r="C10" s="8" t="s">
        <v>16</v>
      </c>
      <c r="D10" s="8"/>
      <c r="E10" s="14" t="s">
        <v>79</v>
      </c>
      <c r="F10" s="15">
        <v>63</v>
      </c>
      <c r="G10" s="16" t="str">
        <f t="shared" si="0"/>
        <v>6</v>
      </c>
      <c r="H10" s="15">
        <v>71</v>
      </c>
      <c r="I10" s="16" t="str">
        <f t="shared" si="1"/>
        <v>6</v>
      </c>
      <c r="J10" s="15">
        <v>48</v>
      </c>
      <c r="K10" s="16" t="str">
        <f t="shared" si="2"/>
        <v>5</v>
      </c>
      <c r="L10" s="15">
        <v>72</v>
      </c>
      <c r="M10" s="16" t="str">
        <f t="shared" si="3"/>
        <v>6</v>
      </c>
      <c r="N10" s="15">
        <v>80</v>
      </c>
      <c r="O10" s="16" t="str">
        <f t="shared" si="4"/>
        <v>7</v>
      </c>
      <c r="P10" s="15">
        <v>42</v>
      </c>
      <c r="Q10" s="16" t="str">
        <f t="shared" si="5"/>
        <v>5</v>
      </c>
      <c r="R10" s="15">
        <v>48</v>
      </c>
      <c r="S10" s="16" t="str">
        <f t="shared" si="6"/>
        <v>5</v>
      </c>
      <c r="T10" s="15">
        <v>60</v>
      </c>
      <c r="U10" s="16" t="str">
        <f t="shared" si="7"/>
        <v>6</v>
      </c>
      <c r="V10" s="15">
        <v>69</v>
      </c>
      <c r="W10" s="16" t="str">
        <f t="shared" si="8"/>
        <v>6</v>
      </c>
      <c r="X10" s="16">
        <f t="shared" si="9"/>
        <v>553</v>
      </c>
      <c r="Y10" s="17">
        <f t="shared" si="10"/>
        <v>52</v>
      </c>
      <c r="Z10" s="18" t="str">
        <f t="shared" si="11"/>
        <v>M.E 1</v>
      </c>
      <c r="AA10" s="19">
        <f t="shared" si="12"/>
        <v>4</v>
      </c>
      <c r="AB10" s="7"/>
      <c r="AC10" s="6"/>
    </row>
    <row r="11" spans="2:29" ht="37.5">
      <c r="B11" s="13">
        <v>4</v>
      </c>
      <c r="C11" s="8" t="s">
        <v>17</v>
      </c>
      <c r="D11" s="8"/>
      <c r="E11" s="14" t="s">
        <v>45</v>
      </c>
      <c r="F11" s="15">
        <v>65</v>
      </c>
      <c r="G11" s="16" t="str">
        <f t="shared" si="0"/>
        <v>6</v>
      </c>
      <c r="H11" s="15">
        <v>60</v>
      </c>
      <c r="I11" s="16" t="str">
        <f t="shared" si="1"/>
        <v>6</v>
      </c>
      <c r="J11" s="15">
        <v>24</v>
      </c>
      <c r="K11" s="16" t="str">
        <f t="shared" si="2"/>
        <v>3</v>
      </c>
      <c r="L11" s="15">
        <v>61</v>
      </c>
      <c r="M11" s="16" t="str">
        <f t="shared" si="3"/>
        <v>6</v>
      </c>
      <c r="N11" s="15">
        <v>69</v>
      </c>
      <c r="O11" s="16" t="str">
        <f t="shared" si="4"/>
        <v>6</v>
      </c>
      <c r="P11" s="15">
        <v>29</v>
      </c>
      <c r="Q11" s="16" t="str">
        <f t="shared" si="5"/>
        <v>3</v>
      </c>
      <c r="R11" s="15">
        <v>58</v>
      </c>
      <c r="S11" s="16" t="str">
        <f t="shared" si="6"/>
        <v>6</v>
      </c>
      <c r="T11" s="15">
        <v>42</v>
      </c>
      <c r="U11" s="16" t="str">
        <f t="shared" si="7"/>
        <v>5</v>
      </c>
      <c r="V11" s="15">
        <v>54</v>
      </c>
      <c r="W11" s="16" t="str">
        <f t="shared" si="8"/>
        <v>5</v>
      </c>
      <c r="X11" s="16">
        <f t="shared" si="9"/>
        <v>462</v>
      </c>
      <c r="Y11" s="17">
        <f t="shared" si="10"/>
        <v>46</v>
      </c>
      <c r="Z11" s="18" t="str">
        <f t="shared" si="11"/>
        <v>M.E 1</v>
      </c>
      <c r="AA11" s="19">
        <f t="shared" si="12"/>
        <v>9</v>
      </c>
      <c r="AB11" s="7"/>
      <c r="AC11" s="6"/>
    </row>
    <row r="12" spans="2:29" ht="37.5">
      <c r="B12" s="13">
        <v>5</v>
      </c>
      <c r="C12" s="8" t="s">
        <v>18</v>
      </c>
      <c r="D12" s="8"/>
      <c r="E12" s="14" t="s">
        <v>82</v>
      </c>
      <c r="F12" s="15">
        <v>51</v>
      </c>
      <c r="G12" s="16" t="str">
        <f t="shared" si="0"/>
        <v>5</v>
      </c>
      <c r="H12" s="15">
        <v>63</v>
      </c>
      <c r="I12" s="16" t="str">
        <f t="shared" si="1"/>
        <v>6</v>
      </c>
      <c r="J12" s="15">
        <v>34</v>
      </c>
      <c r="K12" s="16" t="str">
        <f t="shared" si="2"/>
        <v>4</v>
      </c>
      <c r="L12" s="15">
        <v>68</v>
      </c>
      <c r="M12" s="16" t="str">
        <f t="shared" si="3"/>
        <v>6</v>
      </c>
      <c r="N12" s="15">
        <v>68</v>
      </c>
      <c r="O12" s="16" t="str">
        <f t="shared" si="4"/>
        <v>6</v>
      </c>
      <c r="P12" s="15">
        <v>26</v>
      </c>
      <c r="Q12" s="16" t="str">
        <f t="shared" si="5"/>
        <v>3</v>
      </c>
      <c r="R12" s="15">
        <v>42</v>
      </c>
      <c r="S12" s="16" t="str">
        <f t="shared" si="6"/>
        <v>5</v>
      </c>
      <c r="T12" s="15">
        <v>66</v>
      </c>
      <c r="U12" s="16" t="str">
        <f t="shared" si="7"/>
        <v>6</v>
      </c>
      <c r="V12" s="15">
        <v>55</v>
      </c>
      <c r="W12" s="16" t="str">
        <f t="shared" si="8"/>
        <v>5</v>
      </c>
      <c r="X12" s="16">
        <f t="shared" si="9"/>
        <v>473</v>
      </c>
      <c r="Y12" s="17">
        <f t="shared" si="10"/>
        <v>46</v>
      </c>
      <c r="Z12" s="18" t="str">
        <f t="shared" si="11"/>
        <v>M.E 1</v>
      </c>
      <c r="AA12" s="19">
        <f t="shared" si="12"/>
        <v>8</v>
      </c>
      <c r="AB12" s="7"/>
      <c r="AC12" s="6"/>
    </row>
    <row r="13" spans="2:29" ht="37.5">
      <c r="B13" s="13">
        <v>6</v>
      </c>
      <c r="C13" s="8" t="s">
        <v>19</v>
      </c>
      <c r="D13" s="8"/>
      <c r="E13" s="14" t="s">
        <v>58</v>
      </c>
      <c r="F13" s="15">
        <v>51</v>
      </c>
      <c r="G13" s="16" t="str">
        <f t="shared" si="0"/>
        <v>5</v>
      </c>
      <c r="H13" s="15">
        <v>76</v>
      </c>
      <c r="I13" s="16" t="str">
        <f t="shared" si="1"/>
        <v>7</v>
      </c>
      <c r="J13" s="15">
        <v>24</v>
      </c>
      <c r="K13" s="16" t="str">
        <f t="shared" si="2"/>
        <v>3</v>
      </c>
      <c r="L13" s="15">
        <v>67</v>
      </c>
      <c r="M13" s="16" t="str">
        <f t="shared" si="3"/>
        <v>6</v>
      </c>
      <c r="N13" s="15">
        <v>60</v>
      </c>
      <c r="O13" s="16" t="str">
        <f t="shared" si="4"/>
        <v>6</v>
      </c>
      <c r="P13" s="15">
        <v>50</v>
      </c>
      <c r="Q13" s="16" t="str">
        <f t="shared" si="5"/>
        <v>5</v>
      </c>
      <c r="R13" s="15">
        <v>56</v>
      </c>
      <c r="S13" s="16" t="str">
        <f t="shared" si="6"/>
        <v>5</v>
      </c>
      <c r="T13" s="15">
        <v>56</v>
      </c>
      <c r="U13" s="16" t="str">
        <f t="shared" si="7"/>
        <v>5</v>
      </c>
      <c r="V13" s="15">
        <v>58</v>
      </c>
      <c r="W13" s="16" t="str">
        <f t="shared" si="8"/>
        <v>6</v>
      </c>
      <c r="X13" s="16">
        <f t="shared" si="9"/>
        <v>498</v>
      </c>
      <c r="Y13" s="17">
        <f t="shared" si="10"/>
        <v>48</v>
      </c>
      <c r="Z13" s="18" t="str">
        <f t="shared" si="11"/>
        <v>M.E 1</v>
      </c>
      <c r="AA13" s="19">
        <f t="shared" si="12"/>
        <v>6</v>
      </c>
      <c r="AB13" s="7"/>
      <c r="AC13" s="6"/>
    </row>
    <row r="14" spans="2:29" ht="37.5">
      <c r="B14" s="13">
        <v>7</v>
      </c>
      <c r="C14" s="8" t="s">
        <v>20</v>
      </c>
      <c r="D14" s="8"/>
      <c r="E14" s="14" t="s">
        <v>78</v>
      </c>
      <c r="F14" s="15">
        <v>48</v>
      </c>
      <c r="G14" s="16" t="str">
        <f t="shared" si="0"/>
        <v>5</v>
      </c>
      <c r="H14" s="15">
        <v>75</v>
      </c>
      <c r="I14" s="16" t="str">
        <f t="shared" si="1"/>
        <v>7</v>
      </c>
      <c r="J14" s="15">
        <v>49</v>
      </c>
      <c r="K14" s="16" t="str">
        <f t="shared" si="2"/>
        <v>5</v>
      </c>
      <c r="L14" s="15">
        <v>53</v>
      </c>
      <c r="M14" s="16" t="str">
        <f t="shared" si="3"/>
        <v>5</v>
      </c>
      <c r="N14" s="15">
        <v>71</v>
      </c>
      <c r="O14" s="16" t="str">
        <f t="shared" si="4"/>
        <v>6</v>
      </c>
      <c r="P14" s="15">
        <v>50</v>
      </c>
      <c r="Q14" s="16" t="str">
        <f t="shared" si="5"/>
        <v>5</v>
      </c>
      <c r="R14" s="15">
        <v>57</v>
      </c>
      <c r="S14" s="16" t="str">
        <f t="shared" si="6"/>
        <v>5</v>
      </c>
      <c r="T14" s="15">
        <v>58</v>
      </c>
      <c r="U14" s="16" t="str">
        <f t="shared" si="7"/>
        <v>6</v>
      </c>
      <c r="V14" s="15">
        <v>36</v>
      </c>
      <c r="W14" s="16" t="str">
        <f t="shared" si="8"/>
        <v>4</v>
      </c>
      <c r="X14" s="16">
        <f t="shared" si="9"/>
        <v>497</v>
      </c>
      <c r="Y14" s="17">
        <f t="shared" si="10"/>
        <v>48</v>
      </c>
      <c r="Z14" s="18" t="str">
        <f t="shared" si="11"/>
        <v>M.E 1</v>
      </c>
      <c r="AA14" s="19">
        <f t="shared" si="12"/>
        <v>7</v>
      </c>
      <c r="AB14" s="7"/>
      <c r="AC14" s="6"/>
    </row>
    <row r="15" spans="2:29" ht="37.5">
      <c r="B15" s="13">
        <v>8</v>
      </c>
      <c r="C15" s="8" t="s">
        <v>21</v>
      </c>
      <c r="D15" s="8"/>
      <c r="E15" s="14" t="s">
        <v>60</v>
      </c>
      <c r="F15" s="15">
        <v>0</v>
      </c>
      <c r="G15" s="16" t="str">
        <f t="shared" si="0"/>
        <v>1</v>
      </c>
      <c r="H15" s="15">
        <v>67</v>
      </c>
      <c r="I15" s="16" t="str">
        <f t="shared" si="1"/>
        <v>6</v>
      </c>
      <c r="J15" s="15">
        <v>55</v>
      </c>
      <c r="K15" s="16" t="str">
        <f t="shared" si="2"/>
        <v>5</v>
      </c>
      <c r="L15" s="15">
        <v>57</v>
      </c>
      <c r="M15" s="16" t="str">
        <f t="shared" si="3"/>
        <v>5</v>
      </c>
      <c r="N15" s="15">
        <v>63</v>
      </c>
      <c r="O15" s="16" t="str">
        <f t="shared" si="4"/>
        <v>6</v>
      </c>
      <c r="P15" s="15">
        <v>52</v>
      </c>
      <c r="Q15" s="16" t="str">
        <f t="shared" si="5"/>
        <v>5</v>
      </c>
      <c r="R15" s="15">
        <v>44</v>
      </c>
      <c r="S15" s="16" t="str">
        <f t="shared" si="6"/>
        <v>5</v>
      </c>
      <c r="T15" s="15">
        <v>34</v>
      </c>
      <c r="U15" s="16" t="str">
        <f t="shared" si="7"/>
        <v>4</v>
      </c>
      <c r="V15" s="15">
        <v>45</v>
      </c>
      <c r="W15" s="16" t="str">
        <f t="shared" si="8"/>
        <v>5</v>
      </c>
      <c r="X15" s="16">
        <f t="shared" si="9"/>
        <v>417</v>
      </c>
      <c r="Y15" s="17">
        <f t="shared" si="10"/>
        <v>42</v>
      </c>
      <c r="Z15" s="18" t="str">
        <f t="shared" si="11"/>
        <v>M.E 2</v>
      </c>
      <c r="AA15" s="19">
        <f t="shared" si="12"/>
        <v>13</v>
      </c>
      <c r="AB15" s="7"/>
      <c r="AC15" s="6"/>
    </row>
    <row r="16" spans="2:29" ht="37.5">
      <c r="B16" s="13">
        <v>9</v>
      </c>
      <c r="C16" s="8" t="s">
        <v>22</v>
      </c>
      <c r="D16" s="8"/>
      <c r="E16" s="14" t="s">
        <v>46</v>
      </c>
      <c r="F16" s="15">
        <v>53</v>
      </c>
      <c r="G16" s="16" t="str">
        <f t="shared" si="0"/>
        <v>5</v>
      </c>
      <c r="H16" s="15">
        <v>62</v>
      </c>
      <c r="I16" s="16" t="str">
        <f t="shared" si="1"/>
        <v>6</v>
      </c>
      <c r="J16" s="15">
        <v>31</v>
      </c>
      <c r="K16" s="16" t="str">
        <f t="shared" si="2"/>
        <v>4</v>
      </c>
      <c r="L16" s="15">
        <v>64</v>
      </c>
      <c r="M16" s="16" t="str">
        <f t="shared" si="3"/>
        <v>6</v>
      </c>
      <c r="N16" s="15">
        <v>69</v>
      </c>
      <c r="O16" s="16" t="str">
        <f t="shared" si="4"/>
        <v>6</v>
      </c>
      <c r="P16" s="15">
        <v>33</v>
      </c>
      <c r="Q16" s="16" t="str">
        <f t="shared" si="5"/>
        <v>4</v>
      </c>
      <c r="R16" s="15">
        <v>55</v>
      </c>
      <c r="S16" s="16" t="str">
        <f t="shared" si="6"/>
        <v>5</v>
      </c>
      <c r="T16" s="15">
        <v>38</v>
      </c>
      <c r="U16" s="16" t="str">
        <f t="shared" si="7"/>
        <v>4</v>
      </c>
      <c r="V16" s="15">
        <v>40</v>
      </c>
      <c r="W16" s="16" t="str">
        <f t="shared" si="8"/>
        <v>4</v>
      </c>
      <c r="X16" s="16">
        <f t="shared" si="9"/>
        <v>445</v>
      </c>
      <c r="Y16" s="17">
        <f t="shared" si="10"/>
        <v>44</v>
      </c>
      <c r="Z16" s="18" t="str">
        <f t="shared" si="11"/>
        <v>M.E 2</v>
      </c>
      <c r="AA16" s="19">
        <f t="shared" si="12"/>
        <v>10</v>
      </c>
      <c r="AB16" s="7"/>
      <c r="AC16" s="6"/>
    </row>
    <row r="17" spans="2:29" ht="37.5">
      <c r="B17" s="13">
        <v>10</v>
      </c>
      <c r="C17" s="8" t="s">
        <v>23</v>
      </c>
      <c r="D17" s="8"/>
      <c r="E17" s="14" t="s">
        <v>61</v>
      </c>
      <c r="F17" s="15">
        <v>49</v>
      </c>
      <c r="G17" s="16" t="str">
        <f t="shared" si="0"/>
        <v>5</v>
      </c>
      <c r="H17" s="15">
        <v>81</v>
      </c>
      <c r="I17" s="16" t="str">
        <f t="shared" si="1"/>
        <v>7</v>
      </c>
      <c r="J17" s="15">
        <v>27</v>
      </c>
      <c r="K17" s="16" t="str">
        <f t="shared" si="2"/>
        <v>3</v>
      </c>
      <c r="L17" s="15">
        <v>58</v>
      </c>
      <c r="M17" s="16" t="str">
        <f t="shared" si="3"/>
        <v>6</v>
      </c>
      <c r="N17" s="15">
        <v>80</v>
      </c>
      <c r="O17" s="16" t="str">
        <f t="shared" si="4"/>
        <v>7</v>
      </c>
      <c r="P17" s="15">
        <v>54</v>
      </c>
      <c r="Q17" s="16" t="str">
        <f t="shared" si="5"/>
        <v>5</v>
      </c>
      <c r="R17" s="15">
        <v>78</v>
      </c>
      <c r="S17" s="16" t="str">
        <f t="shared" si="6"/>
        <v>7</v>
      </c>
      <c r="T17" s="15">
        <v>53</v>
      </c>
      <c r="U17" s="16" t="str">
        <f t="shared" si="7"/>
        <v>5</v>
      </c>
      <c r="V17" s="15">
        <v>54</v>
      </c>
      <c r="W17" s="16" t="str">
        <f t="shared" si="8"/>
        <v>5</v>
      </c>
      <c r="X17" s="16">
        <f t="shared" si="9"/>
        <v>534</v>
      </c>
      <c r="Y17" s="17">
        <f t="shared" si="10"/>
        <v>50</v>
      </c>
      <c r="Z17" s="18" t="str">
        <f t="shared" si="11"/>
        <v>M.E 1</v>
      </c>
      <c r="AA17" s="19">
        <f t="shared" si="12"/>
        <v>5</v>
      </c>
      <c r="AB17" s="7"/>
      <c r="AC17" s="6"/>
    </row>
    <row r="18" spans="2:29" ht="37.5">
      <c r="B18" s="13">
        <v>11</v>
      </c>
      <c r="C18" s="8" t="s">
        <v>24</v>
      </c>
      <c r="D18" s="8"/>
      <c r="E18" s="14" t="s">
        <v>25</v>
      </c>
      <c r="F18" s="15">
        <v>53</v>
      </c>
      <c r="G18" s="16" t="str">
        <f t="shared" si="0"/>
        <v>5</v>
      </c>
      <c r="H18" s="15">
        <v>46</v>
      </c>
      <c r="I18" s="16" t="str">
        <f t="shared" si="1"/>
        <v>5</v>
      </c>
      <c r="J18" s="15">
        <v>22</v>
      </c>
      <c r="K18" s="16" t="str">
        <f t="shared" si="2"/>
        <v>3</v>
      </c>
      <c r="L18" s="15">
        <v>51</v>
      </c>
      <c r="M18" s="16" t="str">
        <f t="shared" si="3"/>
        <v>5</v>
      </c>
      <c r="N18" s="15">
        <v>71</v>
      </c>
      <c r="O18" s="16" t="str">
        <f t="shared" si="4"/>
        <v>6</v>
      </c>
      <c r="P18" s="15">
        <v>42</v>
      </c>
      <c r="Q18" s="16" t="str">
        <f t="shared" si="5"/>
        <v>5</v>
      </c>
      <c r="R18" s="15">
        <v>47</v>
      </c>
      <c r="S18" s="16" t="str">
        <f t="shared" si="6"/>
        <v>5</v>
      </c>
      <c r="T18" s="15">
        <v>50</v>
      </c>
      <c r="U18" s="16" t="str">
        <f t="shared" si="7"/>
        <v>5</v>
      </c>
      <c r="V18" s="15">
        <v>44</v>
      </c>
      <c r="W18" s="16" t="str">
        <f t="shared" si="8"/>
        <v>5</v>
      </c>
      <c r="X18" s="16">
        <f t="shared" si="9"/>
        <v>426</v>
      </c>
      <c r="Y18" s="17">
        <f t="shared" si="10"/>
        <v>44</v>
      </c>
      <c r="Z18" s="18" t="str">
        <f t="shared" si="11"/>
        <v>M.E 2</v>
      </c>
      <c r="AA18" s="19">
        <f t="shared" si="12"/>
        <v>12</v>
      </c>
      <c r="AB18" s="7"/>
      <c r="AC18" s="6"/>
    </row>
    <row r="19" spans="2:29" ht="37.5">
      <c r="B19" s="13">
        <v>12</v>
      </c>
      <c r="C19" s="8" t="s">
        <v>26</v>
      </c>
      <c r="D19" s="8"/>
      <c r="E19" s="14" t="s">
        <v>74</v>
      </c>
      <c r="F19" s="15">
        <v>58</v>
      </c>
      <c r="G19" s="16" t="str">
        <f t="shared" si="0"/>
        <v>6</v>
      </c>
      <c r="H19" s="15">
        <v>71</v>
      </c>
      <c r="I19" s="16" t="str">
        <f t="shared" si="1"/>
        <v>6</v>
      </c>
      <c r="J19" s="15">
        <v>12</v>
      </c>
      <c r="K19" s="16" t="str">
        <f t="shared" si="2"/>
        <v>2</v>
      </c>
      <c r="L19" s="15">
        <v>51</v>
      </c>
      <c r="M19" s="16" t="str">
        <f t="shared" si="3"/>
        <v>5</v>
      </c>
      <c r="N19" s="15">
        <v>56</v>
      </c>
      <c r="O19" s="16" t="str">
        <f t="shared" si="4"/>
        <v>5</v>
      </c>
      <c r="P19" s="15">
        <v>32</v>
      </c>
      <c r="Q19" s="16" t="str">
        <f t="shared" si="5"/>
        <v>4</v>
      </c>
      <c r="R19" s="15">
        <v>69</v>
      </c>
      <c r="S19" s="16" t="str">
        <f t="shared" si="6"/>
        <v>6</v>
      </c>
      <c r="T19" s="15">
        <v>41</v>
      </c>
      <c r="U19" s="16" t="str">
        <f t="shared" si="7"/>
        <v>5</v>
      </c>
      <c r="V19" s="15">
        <v>46</v>
      </c>
      <c r="W19" s="16" t="str">
        <f t="shared" si="8"/>
        <v>5</v>
      </c>
      <c r="X19" s="16">
        <f t="shared" si="9"/>
        <v>436</v>
      </c>
      <c r="Y19" s="17">
        <f t="shared" si="10"/>
        <v>44</v>
      </c>
      <c r="Z19" s="18" t="str">
        <f t="shared" si="11"/>
        <v>M.E 2</v>
      </c>
      <c r="AA19" s="19">
        <f t="shared" si="12"/>
        <v>11</v>
      </c>
      <c r="AB19" s="7"/>
      <c r="AC19" s="6"/>
    </row>
    <row r="20" spans="2:29" ht="37.5">
      <c r="B20" s="13">
        <v>13</v>
      </c>
      <c r="C20" s="8" t="s">
        <v>27</v>
      </c>
      <c r="D20" s="8"/>
      <c r="E20" s="14" t="s">
        <v>55</v>
      </c>
      <c r="F20" s="15">
        <v>47</v>
      </c>
      <c r="G20" s="16" t="str">
        <f t="shared" si="0"/>
        <v>5</v>
      </c>
      <c r="H20" s="15">
        <v>55</v>
      </c>
      <c r="I20" s="16" t="str">
        <f t="shared" si="1"/>
        <v>5</v>
      </c>
      <c r="J20" s="15">
        <v>28</v>
      </c>
      <c r="K20" s="16" t="str">
        <f t="shared" si="2"/>
        <v>3</v>
      </c>
      <c r="L20" s="15">
        <v>41</v>
      </c>
      <c r="M20" s="16" t="str">
        <f t="shared" si="3"/>
        <v>5</v>
      </c>
      <c r="N20" s="15">
        <v>49</v>
      </c>
      <c r="O20" s="16" t="str">
        <f t="shared" si="4"/>
        <v>5</v>
      </c>
      <c r="P20" s="15">
        <v>26</v>
      </c>
      <c r="Q20" s="16" t="str">
        <f t="shared" si="5"/>
        <v>3</v>
      </c>
      <c r="R20" s="15">
        <v>44</v>
      </c>
      <c r="S20" s="16" t="str">
        <f t="shared" si="6"/>
        <v>5</v>
      </c>
      <c r="T20" s="15">
        <v>30</v>
      </c>
      <c r="U20" s="16" t="str">
        <f t="shared" si="7"/>
        <v>3</v>
      </c>
      <c r="V20" s="15">
        <v>51</v>
      </c>
      <c r="W20" s="16" t="str">
        <f t="shared" si="8"/>
        <v>5</v>
      </c>
      <c r="X20" s="16">
        <f t="shared" si="9"/>
        <v>371</v>
      </c>
      <c r="Y20" s="17">
        <f t="shared" si="10"/>
        <v>39</v>
      </c>
      <c r="Z20" s="18" t="str">
        <f t="shared" si="11"/>
        <v>M.E 2</v>
      </c>
      <c r="AA20" s="19">
        <f t="shared" si="12"/>
        <v>15</v>
      </c>
      <c r="AB20" s="7"/>
      <c r="AC20" s="6"/>
    </row>
    <row r="21" spans="2:29" ht="37.5">
      <c r="B21" s="13">
        <v>14</v>
      </c>
      <c r="C21" s="8" t="s">
        <v>28</v>
      </c>
      <c r="D21" s="8"/>
      <c r="E21" s="14" t="s">
        <v>15</v>
      </c>
      <c r="F21" s="15">
        <v>43</v>
      </c>
      <c r="G21" s="16" t="str">
        <f t="shared" si="0"/>
        <v>5</v>
      </c>
      <c r="H21" s="15">
        <v>47</v>
      </c>
      <c r="I21" s="16" t="str">
        <f t="shared" si="1"/>
        <v>5</v>
      </c>
      <c r="J21" s="15">
        <v>27</v>
      </c>
      <c r="K21" s="16" t="str">
        <f t="shared" si="2"/>
        <v>3</v>
      </c>
      <c r="L21" s="15">
        <v>37</v>
      </c>
      <c r="M21" s="16" t="str">
        <f t="shared" si="3"/>
        <v>4</v>
      </c>
      <c r="N21" s="15">
        <v>50</v>
      </c>
      <c r="O21" s="16" t="str">
        <f t="shared" si="4"/>
        <v>5</v>
      </c>
      <c r="P21" s="15">
        <v>22</v>
      </c>
      <c r="Q21" s="16" t="str">
        <f t="shared" si="5"/>
        <v>3</v>
      </c>
      <c r="R21" s="15">
        <v>35</v>
      </c>
      <c r="S21" s="16" t="str">
        <f t="shared" si="6"/>
        <v>4</v>
      </c>
      <c r="T21" s="15">
        <v>36</v>
      </c>
      <c r="U21" s="16" t="str">
        <f t="shared" si="7"/>
        <v>4</v>
      </c>
      <c r="V21" s="15">
        <v>25</v>
      </c>
      <c r="W21" s="16" t="str">
        <f t="shared" si="8"/>
        <v>3</v>
      </c>
      <c r="X21" s="16">
        <f t="shared" si="9"/>
        <v>322</v>
      </c>
      <c r="Y21" s="17">
        <f t="shared" si="10"/>
        <v>36</v>
      </c>
      <c r="Z21" s="18" t="str">
        <f t="shared" si="11"/>
        <v>M.E 2</v>
      </c>
      <c r="AA21" s="19">
        <f t="shared" si="12"/>
        <v>19</v>
      </c>
      <c r="AB21" s="7"/>
      <c r="AC21" s="6"/>
    </row>
    <row r="22" spans="2:29" ht="37.5">
      <c r="B22" s="13">
        <v>15</v>
      </c>
      <c r="C22" s="8" t="s">
        <v>29</v>
      </c>
      <c r="D22" s="8"/>
      <c r="E22" s="14" t="s">
        <v>47</v>
      </c>
      <c r="F22" s="15">
        <v>42</v>
      </c>
      <c r="G22" s="16" t="str">
        <f t="shared" si="0"/>
        <v>5</v>
      </c>
      <c r="H22" s="15">
        <v>41</v>
      </c>
      <c r="I22" s="16" t="str">
        <f t="shared" si="1"/>
        <v>5</v>
      </c>
      <c r="J22" s="15">
        <v>18</v>
      </c>
      <c r="K22" s="16" t="str">
        <f t="shared" si="2"/>
        <v>2</v>
      </c>
      <c r="L22" s="15">
        <v>26</v>
      </c>
      <c r="M22" s="16" t="str">
        <f t="shared" si="3"/>
        <v>3</v>
      </c>
      <c r="N22" s="15">
        <v>33</v>
      </c>
      <c r="O22" s="16" t="str">
        <f t="shared" si="4"/>
        <v>4</v>
      </c>
      <c r="P22" s="15">
        <v>15</v>
      </c>
      <c r="Q22" s="16" t="str">
        <f t="shared" si="5"/>
        <v>2</v>
      </c>
      <c r="R22" s="15">
        <v>39</v>
      </c>
      <c r="S22" s="16" t="str">
        <f t="shared" si="6"/>
        <v>4</v>
      </c>
      <c r="T22" s="15">
        <v>34</v>
      </c>
      <c r="U22" s="16" t="str">
        <f t="shared" si="7"/>
        <v>4</v>
      </c>
      <c r="V22" s="15">
        <v>23</v>
      </c>
      <c r="W22" s="16" t="str">
        <f t="shared" si="8"/>
        <v>3</v>
      </c>
      <c r="X22" s="16">
        <f t="shared" si="9"/>
        <v>271</v>
      </c>
      <c r="Y22" s="17">
        <f t="shared" si="10"/>
        <v>32</v>
      </c>
      <c r="Z22" s="18" t="str">
        <f t="shared" si="11"/>
        <v>A.E 1</v>
      </c>
      <c r="AA22" s="19">
        <f t="shared" si="12"/>
        <v>23</v>
      </c>
      <c r="AB22" s="7"/>
      <c r="AC22" s="6"/>
    </row>
    <row r="23" spans="2:29" ht="37.5">
      <c r="B23" s="13">
        <v>16</v>
      </c>
      <c r="C23" s="8" t="s">
        <v>30</v>
      </c>
      <c r="D23" s="8"/>
      <c r="E23" s="14" t="s">
        <v>63</v>
      </c>
      <c r="F23" s="15">
        <v>0</v>
      </c>
      <c r="G23" s="16" t="str">
        <f t="shared" si="0"/>
        <v>1</v>
      </c>
      <c r="H23" s="15">
        <v>40</v>
      </c>
      <c r="I23" s="16" t="str">
        <f t="shared" si="1"/>
        <v>4</v>
      </c>
      <c r="J23" s="15">
        <v>0</v>
      </c>
      <c r="K23" s="16" t="str">
        <f t="shared" si="2"/>
        <v>1</v>
      </c>
      <c r="L23" s="15">
        <v>26</v>
      </c>
      <c r="M23" s="16" t="str">
        <f t="shared" si="3"/>
        <v>3</v>
      </c>
      <c r="N23" s="15">
        <v>30</v>
      </c>
      <c r="O23" s="16" t="str">
        <f t="shared" si="4"/>
        <v>3</v>
      </c>
      <c r="P23" s="15">
        <v>13</v>
      </c>
      <c r="Q23" s="16" t="str">
        <f t="shared" si="5"/>
        <v>2</v>
      </c>
      <c r="R23" s="15">
        <v>19</v>
      </c>
      <c r="S23" s="16" t="str">
        <f t="shared" si="6"/>
        <v>2</v>
      </c>
      <c r="T23" s="15">
        <v>16</v>
      </c>
      <c r="U23" s="16" t="str">
        <f t="shared" si="7"/>
        <v>2</v>
      </c>
      <c r="V23" s="15">
        <v>30</v>
      </c>
      <c r="W23" s="16" t="str">
        <f t="shared" si="8"/>
        <v>3</v>
      </c>
      <c r="X23" s="16">
        <f t="shared" si="9"/>
        <v>174</v>
      </c>
      <c r="Y23" s="17">
        <f t="shared" si="10"/>
        <v>21</v>
      </c>
      <c r="Z23" s="18" t="str">
        <f t="shared" si="11"/>
        <v>A.E 2</v>
      </c>
      <c r="AA23" s="19">
        <f t="shared" si="12"/>
        <v>28</v>
      </c>
      <c r="AB23" s="7"/>
      <c r="AC23" s="6"/>
    </row>
    <row r="24" spans="2:29" ht="37.5">
      <c r="B24" s="13">
        <v>17</v>
      </c>
      <c r="C24" s="8" t="s">
        <v>31</v>
      </c>
      <c r="D24" s="8"/>
      <c r="E24" s="14" t="s">
        <v>54</v>
      </c>
      <c r="F24" s="15">
        <v>30</v>
      </c>
      <c r="G24" s="16" t="str">
        <f t="shared" si="0"/>
        <v>3</v>
      </c>
      <c r="H24" s="15">
        <v>51</v>
      </c>
      <c r="I24" s="16" t="str">
        <f t="shared" si="1"/>
        <v>5</v>
      </c>
      <c r="J24" s="15">
        <v>13</v>
      </c>
      <c r="K24" s="16" t="str">
        <f t="shared" si="2"/>
        <v>2</v>
      </c>
      <c r="L24" s="15">
        <v>30</v>
      </c>
      <c r="M24" s="16" t="str">
        <f t="shared" si="3"/>
        <v>3</v>
      </c>
      <c r="N24" s="15">
        <v>21</v>
      </c>
      <c r="O24" s="16" t="str">
        <f t="shared" si="4"/>
        <v>3</v>
      </c>
      <c r="P24" s="15">
        <v>15</v>
      </c>
      <c r="Q24" s="16" t="str">
        <f t="shared" si="5"/>
        <v>2</v>
      </c>
      <c r="R24" s="15">
        <v>14</v>
      </c>
      <c r="S24" s="16" t="str">
        <f t="shared" si="6"/>
        <v>2</v>
      </c>
      <c r="T24" s="15">
        <v>19</v>
      </c>
      <c r="U24" s="16" t="str">
        <f t="shared" si="7"/>
        <v>2</v>
      </c>
      <c r="V24" s="15">
        <v>19</v>
      </c>
      <c r="W24" s="16" t="str">
        <f t="shared" si="8"/>
        <v>2</v>
      </c>
      <c r="X24" s="16">
        <f t="shared" si="9"/>
        <v>212</v>
      </c>
      <c r="Y24" s="17">
        <f t="shared" si="10"/>
        <v>24</v>
      </c>
      <c r="Z24" s="18" t="str">
        <f t="shared" si="11"/>
        <v>A.E 2</v>
      </c>
      <c r="AA24" s="19">
        <f t="shared" si="12"/>
        <v>26</v>
      </c>
      <c r="AB24" s="7"/>
      <c r="AC24" s="6"/>
    </row>
    <row r="25" spans="2:29" ht="37.5">
      <c r="B25" s="13">
        <v>18</v>
      </c>
      <c r="C25" s="8" t="s">
        <v>32</v>
      </c>
      <c r="D25" s="8"/>
      <c r="E25" s="14" t="s">
        <v>75</v>
      </c>
      <c r="F25" s="15">
        <v>26</v>
      </c>
      <c r="G25" s="16" t="str">
        <f t="shared" si="0"/>
        <v>3</v>
      </c>
      <c r="H25" s="15">
        <v>48</v>
      </c>
      <c r="I25" s="16" t="str">
        <f t="shared" si="1"/>
        <v>5</v>
      </c>
      <c r="J25" s="15">
        <v>5</v>
      </c>
      <c r="K25" s="16" t="str">
        <f t="shared" si="2"/>
        <v>1</v>
      </c>
      <c r="L25" s="15">
        <v>30</v>
      </c>
      <c r="M25" s="16" t="str">
        <f t="shared" si="3"/>
        <v>3</v>
      </c>
      <c r="N25" s="15">
        <v>25</v>
      </c>
      <c r="O25" s="16" t="str">
        <f t="shared" si="4"/>
        <v>3</v>
      </c>
      <c r="P25" s="15">
        <v>19</v>
      </c>
      <c r="Q25" s="16" t="str">
        <f t="shared" si="5"/>
        <v>2</v>
      </c>
      <c r="R25" s="15">
        <v>14</v>
      </c>
      <c r="S25" s="16" t="str">
        <f t="shared" si="6"/>
        <v>2</v>
      </c>
      <c r="T25" s="15">
        <v>22</v>
      </c>
      <c r="U25" s="16" t="str">
        <f t="shared" si="7"/>
        <v>3</v>
      </c>
      <c r="V25" s="15">
        <v>26</v>
      </c>
      <c r="W25" s="16" t="str">
        <f t="shared" si="8"/>
        <v>3</v>
      </c>
      <c r="X25" s="16">
        <f t="shared" si="9"/>
        <v>215</v>
      </c>
      <c r="Y25" s="17">
        <f t="shared" si="10"/>
        <v>25</v>
      </c>
      <c r="Z25" s="18" t="str">
        <f t="shared" si="11"/>
        <v>A.E 2</v>
      </c>
      <c r="AA25" s="19">
        <f t="shared" si="12"/>
        <v>25</v>
      </c>
      <c r="AB25" s="7"/>
      <c r="AC25" s="6"/>
    </row>
    <row r="26" spans="2:29" ht="37.5">
      <c r="B26" s="13">
        <v>19</v>
      </c>
      <c r="C26" s="8" t="s">
        <v>48</v>
      </c>
      <c r="D26" s="8"/>
      <c r="E26" s="14" t="s">
        <v>72</v>
      </c>
      <c r="F26" s="15">
        <v>48</v>
      </c>
      <c r="G26" s="16" t="str">
        <f t="shared" si="0"/>
        <v>5</v>
      </c>
      <c r="H26" s="15">
        <v>52</v>
      </c>
      <c r="I26" s="16" t="str">
        <f t="shared" si="1"/>
        <v>5</v>
      </c>
      <c r="J26" s="15">
        <v>22</v>
      </c>
      <c r="K26" s="16" t="str">
        <f t="shared" si="2"/>
        <v>3</v>
      </c>
      <c r="L26" s="15">
        <v>50</v>
      </c>
      <c r="M26" s="16" t="str">
        <f t="shared" si="3"/>
        <v>5</v>
      </c>
      <c r="N26" s="15">
        <v>64</v>
      </c>
      <c r="O26" s="16" t="str">
        <f t="shared" si="4"/>
        <v>6</v>
      </c>
      <c r="P26" s="15">
        <v>19</v>
      </c>
      <c r="Q26" s="16" t="str">
        <f t="shared" si="5"/>
        <v>2</v>
      </c>
      <c r="R26" s="15">
        <v>69</v>
      </c>
      <c r="S26" s="16" t="str">
        <f t="shared" si="6"/>
        <v>6</v>
      </c>
      <c r="T26" s="15">
        <v>38</v>
      </c>
      <c r="U26" s="16" t="str">
        <f t="shared" si="7"/>
        <v>4</v>
      </c>
      <c r="V26" s="15">
        <v>40</v>
      </c>
      <c r="W26" s="16" t="str">
        <f t="shared" si="8"/>
        <v>4</v>
      </c>
      <c r="X26" s="16">
        <f t="shared" si="9"/>
        <v>402</v>
      </c>
      <c r="Y26" s="17">
        <f t="shared" si="10"/>
        <v>40</v>
      </c>
      <c r="Z26" s="18" t="str">
        <f t="shared" si="11"/>
        <v>M.E 2</v>
      </c>
      <c r="AA26" s="19">
        <f t="shared" si="12"/>
        <v>14</v>
      </c>
      <c r="AB26" s="7"/>
      <c r="AC26" s="6"/>
    </row>
    <row r="27" spans="2:29" ht="37.5">
      <c r="B27" s="13">
        <v>20</v>
      </c>
      <c r="C27" s="8" t="s">
        <v>33</v>
      </c>
      <c r="D27" s="8"/>
      <c r="E27" s="14" t="s">
        <v>77</v>
      </c>
      <c r="F27" s="15">
        <v>40</v>
      </c>
      <c r="G27" s="16" t="str">
        <f t="shared" si="0"/>
        <v>4</v>
      </c>
      <c r="H27" s="15">
        <v>57</v>
      </c>
      <c r="I27" s="16" t="str">
        <f t="shared" si="1"/>
        <v>5</v>
      </c>
      <c r="J27" s="15">
        <v>16</v>
      </c>
      <c r="K27" s="16" t="str">
        <f t="shared" si="2"/>
        <v>2</v>
      </c>
      <c r="L27" s="15">
        <v>49</v>
      </c>
      <c r="M27" s="16" t="str">
        <f t="shared" si="3"/>
        <v>5</v>
      </c>
      <c r="N27" s="15">
        <v>46</v>
      </c>
      <c r="O27" s="16" t="str">
        <f t="shared" si="4"/>
        <v>5</v>
      </c>
      <c r="P27" s="15">
        <v>20</v>
      </c>
      <c r="Q27" s="16" t="str">
        <f t="shared" si="5"/>
        <v>2</v>
      </c>
      <c r="R27" s="15">
        <v>28</v>
      </c>
      <c r="S27" s="16" t="str">
        <f t="shared" si="6"/>
        <v>3</v>
      </c>
      <c r="T27" s="15">
        <v>22</v>
      </c>
      <c r="U27" s="16" t="str">
        <f t="shared" si="7"/>
        <v>3</v>
      </c>
      <c r="V27" s="15">
        <v>38</v>
      </c>
      <c r="W27" s="16" t="str">
        <f t="shared" si="8"/>
        <v>4</v>
      </c>
      <c r="X27" s="16">
        <f t="shared" si="9"/>
        <v>316</v>
      </c>
      <c r="Y27" s="17">
        <f t="shared" si="10"/>
        <v>33</v>
      </c>
      <c r="Z27" s="18" t="str">
        <f t="shared" si="11"/>
        <v>A.E 1</v>
      </c>
      <c r="AA27" s="19">
        <f t="shared" si="12"/>
        <v>20</v>
      </c>
      <c r="AB27" s="7"/>
      <c r="AC27" s="6"/>
    </row>
    <row r="28" spans="2:29" ht="37.5">
      <c r="B28" s="13">
        <v>21</v>
      </c>
      <c r="C28" s="8" t="s">
        <v>34</v>
      </c>
      <c r="D28" s="8"/>
      <c r="E28" s="14" t="s">
        <v>49</v>
      </c>
      <c r="F28" s="15">
        <v>42</v>
      </c>
      <c r="G28" s="16" t="str">
        <f t="shared" si="0"/>
        <v>5</v>
      </c>
      <c r="H28" s="15">
        <v>62</v>
      </c>
      <c r="I28" s="16" t="str">
        <f t="shared" si="1"/>
        <v>6</v>
      </c>
      <c r="J28" s="15">
        <v>24</v>
      </c>
      <c r="K28" s="16" t="str">
        <f t="shared" si="2"/>
        <v>3</v>
      </c>
      <c r="L28" s="15">
        <v>35</v>
      </c>
      <c r="M28" s="16" t="str">
        <f t="shared" si="3"/>
        <v>4</v>
      </c>
      <c r="N28" s="15">
        <v>54</v>
      </c>
      <c r="O28" s="16" t="str">
        <f t="shared" si="4"/>
        <v>5</v>
      </c>
      <c r="P28" s="15">
        <v>30</v>
      </c>
      <c r="Q28" s="16" t="str">
        <f t="shared" si="5"/>
        <v>3</v>
      </c>
      <c r="R28" s="15">
        <v>50</v>
      </c>
      <c r="S28" s="16" t="str">
        <f t="shared" si="6"/>
        <v>5</v>
      </c>
      <c r="T28" s="15">
        <v>0</v>
      </c>
      <c r="U28" s="16" t="str">
        <f t="shared" si="7"/>
        <v>1</v>
      </c>
      <c r="V28" s="15">
        <v>34</v>
      </c>
      <c r="W28" s="16" t="str">
        <f t="shared" si="8"/>
        <v>4</v>
      </c>
      <c r="X28" s="16">
        <f t="shared" si="9"/>
        <v>331</v>
      </c>
      <c r="Y28" s="17">
        <f t="shared" si="10"/>
        <v>36</v>
      </c>
      <c r="Z28" s="18" t="str">
        <f t="shared" si="11"/>
        <v>M.E 2</v>
      </c>
      <c r="AA28" s="19">
        <f t="shared" si="12"/>
        <v>18</v>
      </c>
      <c r="AB28" s="7"/>
      <c r="AC28" s="6"/>
    </row>
    <row r="29" spans="2:29" ht="37.5">
      <c r="B29" s="13">
        <v>22</v>
      </c>
      <c r="C29" s="8" t="s">
        <v>35</v>
      </c>
      <c r="D29" s="8"/>
      <c r="E29" s="14" t="s">
        <v>62</v>
      </c>
      <c r="F29" s="15">
        <v>39</v>
      </c>
      <c r="G29" s="16" t="str">
        <f t="shared" si="0"/>
        <v>4</v>
      </c>
      <c r="H29" s="15">
        <v>63</v>
      </c>
      <c r="I29" s="16" t="str">
        <f t="shared" si="1"/>
        <v>6</v>
      </c>
      <c r="J29" s="15">
        <v>20</v>
      </c>
      <c r="K29" s="16" t="str">
        <f t="shared" si="2"/>
        <v>2</v>
      </c>
      <c r="L29" s="15">
        <v>38</v>
      </c>
      <c r="M29" s="16" t="str">
        <f t="shared" si="3"/>
        <v>4</v>
      </c>
      <c r="N29" s="15">
        <v>33</v>
      </c>
      <c r="O29" s="16" t="str">
        <f t="shared" si="4"/>
        <v>4</v>
      </c>
      <c r="P29" s="15">
        <v>30</v>
      </c>
      <c r="Q29" s="16" t="str">
        <f t="shared" si="5"/>
        <v>3</v>
      </c>
      <c r="R29" s="15">
        <v>43</v>
      </c>
      <c r="S29" s="16" t="str">
        <f t="shared" si="6"/>
        <v>5</v>
      </c>
      <c r="T29" s="15">
        <v>37</v>
      </c>
      <c r="U29" s="16" t="str">
        <f t="shared" si="7"/>
        <v>4</v>
      </c>
      <c r="V29" s="15">
        <v>30</v>
      </c>
      <c r="W29" s="16" t="str">
        <f t="shared" si="8"/>
        <v>3</v>
      </c>
      <c r="X29" s="16">
        <f t="shared" si="9"/>
        <v>333</v>
      </c>
      <c r="Y29" s="17">
        <f t="shared" si="10"/>
        <v>35</v>
      </c>
      <c r="Z29" s="18" t="str">
        <f t="shared" si="11"/>
        <v>A.E 1</v>
      </c>
      <c r="AA29" s="19">
        <f t="shared" si="12"/>
        <v>17</v>
      </c>
      <c r="AB29" s="7"/>
      <c r="AC29" s="6"/>
    </row>
    <row r="30" spans="2:29" ht="37.5">
      <c r="B30" s="13">
        <v>23</v>
      </c>
      <c r="C30" s="8" t="s">
        <v>36</v>
      </c>
      <c r="D30" s="8"/>
      <c r="E30" s="14" t="s">
        <v>76</v>
      </c>
      <c r="F30" s="15">
        <v>41</v>
      </c>
      <c r="G30" s="16" t="str">
        <f t="shared" si="0"/>
        <v>5</v>
      </c>
      <c r="H30" s="15">
        <v>50</v>
      </c>
      <c r="I30" s="16" t="str">
        <f t="shared" si="1"/>
        <v>5</v>
      </c>
      <c r="J30" s="15">
        <v>16</v>
      </c>
      <c r="K30" s="16" t="str">
        <f t="shared" si="2"/>
        <v>2</v>
      </c>
      <c r="L30" s="15">
        <v>31</v>
      </c>
      <c r="M30" s="16" t="str">
        <f t="shared" si="3"/>
        <v>4</v>
      </c>
      <c r="N30" s="15">
        <v>50</v>
      </c>
      <c r="O30" s="16" t="str">
        <f t="shared" si="4"/>
        <v>5</v>
      </c>
      <c r="P30" s="15">
        <v>15</v>
      </c>
      <c r="Q30" s="16" t="str">
        <f t="shared" si="5"/>
        <v>2</v>
      </c>
      <c r="R30" s="15">
        <v>28</v>
      </c>
      <c r="S30" s="16" t="str">
        <f t="shared" si="6"/>
        <v>3</v>
      </c>
      <c r="T30" s="15">
        <v>26</v>
      </c>
      <c r="U30" s="16" t="str">
        <f t="shared" si="7"/>
        <v>3</v>
      </c>
      <c r="V30" s="15">
        <v>34</v>
      </c>
      <c r="W30" s="16" t="str">
        <f t="shared" si="8"/>
        <v>4</v>
      </c>
      <c r="X30" s="16">
        <f t="shared" si="9"/>
        <v>291</v>
      </c>
      <c r="Y30" s="17">
        <f t="shared" si="10"/>
        <v>33</v>
      </c>
      <c r="Z30" s="18" t="str">
        <f t="shared" si="11"/>
        <v>A.E 1</v>
      </c>
      <c r="AA30" s="19">
        <f t="shared" si="12"/>
        <v>22</v>
      </c>
      <c r="AB30" s="7"/>
      <c r="AC30" s="6"/>
    </row>
    <row r="31" spans="2:29" ht="37.5">
      <c r="B31" s="13">
        <v>24</v>
      </c>
      <c r="C31" s="8" t="s">
        <v>37</v>
      </c>
      <c r="D31" s="8"/>
      <c r="E31" s="14" t="s">
        <v>50</v>
      </c>
      <c r="F31" s="15">
        <v>23</v>
      </c>
      <c r="G31" s="16" t="str">
        <f t="shared" si="0"/>
        <v>3</v>
      </c>
      <c r="H31" s="15">
        <v>28</v>
      </c>
      <c r="I31" s="16" t="str">
        <f t="shared" si="1"/>
        <v>3</v>
      </c>
      <c r="J31" s="15">
        <v>3</v>
      </c>
      <c r="K31" s="16" t="str">
        <f t="shared" si="2"/>
        <v>1</v>
      </c>
      <c r="L31" s="15">
        <v>23</v>
      </c>
      <c r="M31" s="16" t="str">
        <f t="shared" si="3"/>
        <v>3</v>
      </c>
      <c r="N31" s="15">
        <v>15</v>
      </c>
      <c r="O31" s="16" t="str">
        <f t="shared" si="4"/>
        <v>2</v>
      </c>
      <c r="P31" s="15">
        <v>13</v>
      </c>
      <c r="Q31" s="16" t="str">
        <f t="shared" si="5"/>
        <v>2</v>
      </c>
      <c r="R31" s="15">
        <v>6</v>
      </c>
      <c r="S31" s="16" t="str">
        <f t="shared" si="6"/>
        <v>1</v>
      </c>
      <c r="T31" s="15">
        <v>12</v>
      </c>
      <c r="U31" s="16" t="str">
        <f t="shared" si="7"/>
        <v>2</v>
      </c>
      <c r="V31" s="15">
        <v>23</v>
      </c>
      <c r="W31" s="16" t="str">
        <f t="shared" si="8"/>
        <v>3</v>
      </c>
      <c r="X31" s="16">
        <f t="shared" si="9"/>
        <v>146</v>
      </c>
      <c r="Y31" s="17">
        <f t="shared" si="10"/>
        <v>20</v>
      </c>
      <c r="Z31" s="18" t="str">
        <f t="shared" si="11"/>
        <v>A.E 2</v>
      </c>
      <c r="AA31" s="19">
        <f t="shared" si="12"/>
        <v>30</v>
      </c>
      <c r="AB31" s="7"/>
      <c r="AC31" s="6"/>
    </row>
    <row r="32" spans="2:29" ht="37.5">
      <c r="B32" s="13">
        <v>25</v>
      </c>
      <c r="C32" s="8" t="s">
        <v>38</v>
      </c>
      <c r="D32" s="8"/>
      <c r="E32" s="14" t="s">
        <v>71</v>
      </c>
      <c r="F32" s="15">
        <v>0</v>
      </c>
      <c r="G32" s="16" t="str">
        <f t="shared" si="0"/>
        <v>1</v>
      </c>
      <c r="H32" s="15">
        <v>0</v>
      </c>
      <c r="I32" s="16" t="str">
        <f t="shared" si="1"/>
        <v>1</v>
      </c>
      <c r="J32" s="15">
        <v>0</v>
      </c>
      <c r="K32" s="16" t="str">
        <f t="shared" si="2"/>
        <v>1</v>
      </c>
      <c r="L32" s="15">
        <v>0</v>
      </c>
      <c r="M32" s="16" t="str">
        <f t="shared" si="3"/>
        <v>1</v>
      </c>
      <c r="N32" s="15">
        <v>0</v>
      </c>
      <c r="O32" s="16" t="str">
        <f t="shared" si="4"/>
        <v>1</v>
      </c>
      <c r="P32" s="15">
        <v>0</v>
      </c>
      <c r="Q32" s="16" t="str">
        <f t="shared" si="5"/>
        <v>1</v>
      </c>
      <c r="R32" s="15">
        <v>0</v>
      </c>
      <c r="S32" s="16" t="str">
        <f t="shared" si="6"/>
        <v>1</v>
      </c>
      <c r="T32" s="15">
        <v>0</v>
      </c>
      <c r="U32" s="16" t="str">
        <f t="shared" si="7"/>
        <v>1</v>
      </c>
      <c r="V32" s="15">
        <v>0</v>
      </c>
      <c r="W32" s="16" t="str">
        <f t="shared" si="8"/>
        <v>1</v>
      </c>
      <c r="X32" s="16">
        <f t="shared" si="9"/>
        <v>0</v>
      </c>
      <c r="Y32" s="17">
        <f t="shared" si="10"/>
        <v>9</v>
      </c>
      <c r="Z32" s="18" t="str">
        <f t="shared" si="11"/>
        <v>B.E 1</v>
      </c>
      <c r="AA32" s="19">
        <f t="shared" si="12"/>
        <v>33</v>
      </c>
      <c r="AB32" s="7"/>
      <c r="AC32" s="6"/>
    </row>
    <row r="33" spans="2:29" ht="37.5">
      <c r="B33" s="13">
        <v>26</v>
      </c>
      <c r="C33" s="8" t="s">
        <v>39</v>
      </c>
      <c r="D33" s="8"/>
      <c r="E33" s="14" t="s">
        <v>56</v>
      </c>
      <c r="F33" s="15">
        <v>15</v>
      </c>
      <c r="G33" s="16" t="str">
        <f t="shared" si="0"/>
        <v>2</v>
      </c>
      <c r="H33" s="15">
        <v>27</v>
      </c>
      <c r="I33" s="16" t="str">
        <f t="shared" si="1"/>
        <v>3</v>
      </c>
      <c r="J33" s="15">
        <v>7</v>
      </c>
      <c r="K33" s="16" t="str">
        <f t="shared" si="2"/>
        <v>1</v>
      </c>
      <c r="L33" s="15">
        <v>19</v>
      </c>
      <c r="M33" s="16" t="str">
        <f t="shared" si="3"/>
        <v>2</v>
      </c>
      <c r="N33" s="15">
        <v>11</v>
      </c>
      <c r="O33" s="16" t="str">
        <f t="shared" si="4"/>
        <v>2</v>
      </c>
      <c r="P33" s="15">
        <v>7</v>
      </c>
      <c r="Q33" s="16" t="str">
        <f t="shared" si="5"/>
        <v>1</v>
      </c>
      <c r="R33" s="15">
        <v>9</v>
      </c>
      <c r="S33" s="16" t="str">
        <f t="shared" si="6"/>
        <v>1</v>
      </c>
      <c r="T33" s="15">
        <v>14</v>
      </c>
      <c r="U33" s="16" t="str">
        <f t="shared" si="7"/>
        <v>2</v>
      </c>
      <c r="V33" s="15">
        <v>21</v>
      </c>
      <c r="W33" s="16" t="str">
        <f t="shared" si="8"/>
        <v>3</v>
      </c>
      <c r="X33" s="16">
        <f t="shared" si="9"/>
        <v>130</v>
      </c>
      <c r="Y33" s="17">
        <f t="shared" si="10"/>
        <v>17</v>
      </c>
      <c r="Z33" s="18" t="str">
        <f t="shared" si="11"/>
        <v>B.E 1</v>
      </c>
      <c r="AA33" s="19">
        <f t="shared" si="12"/>
        <v>32</v>
      </c>
      <c r="AB33" s="7"/>
      <c r="AC33" s="6"/>
    </row>
    <row r="34" spans="2:29" ht="37.5">
      <c r="B34" s="13">
        <v>27</v>
      </c>
      <c r="C34" s="8" t="s">
        <v>40</v>
      </c>
      <c r="D34" s="8"/>
      <c r="E34" s="14" t="s">
        <v>64</v>
      </c>
      <c r="F34" s="15">
        <v>19</v>
      </c>
      <c r="G34" s="16" t="str">
        <f t="shared" si="0"/>
        <v>2</v>
      </c>
      <c r="H34" s="15">
        <v>31</v>
      </c>
      <c r="I34" s="16" t="str">
        <f t="shared" si="1"/>
        <v>4</v>
      </c>
      <c r="J34" s="15">
        <v>4</v>
      </c>
      <c r="K34" s="16" t="str">
        <f t="shared" si="2"/>
        <v>1</v>
      </c>
      <c r="L34" s="15">
        <v>18</v>
      </c>
      <c r="M34" s="16" t="str">
        <f t="shared" si="3"/>
        <v>2</v>
      </c>
      <c r="N34" s="15">
        <v>21</v>
      </c>
      <c r="O34" s="16" t="str">
        <f t="shared" si="4"/>
        <v>3</v>
      </c>
      <c r="P34" s="15">
        <v>8</v>
      </c>
      <c r="Q34" s="16" t="str">
        <f t="shared" si="5"/>
        <v>1</v>
      </c>
      <c r="R34" s="15">
        <v>5</v>
      </c>
      <c r="S34" s="16" t="str">
        <f t="shared" si="6"/>
        <v>1</v>
      </c>
      <c r="T34" s="15">
        <v>15</v>
      </c>
      <c r="U34" s="16" t="str">
        <f t="shared" si="7"/>
        <v>2</v>
      </c>
      <c r="V34" s="15">
        <v>14</v>
      </c>
      <c r="W34" s="16" t="str">
        <f t="shared" si="8"/>
        <v>2</v>
      </c>
      <c r="X34" s="16">
        <f t="shared" si="9"/>
        <v>135</v>
      </c>
      <c r="Y34" s="17">
        <f t="shared" si="10"/>
        <v>18</v>
      </c>
      <c r="Z34" s="18" t="str">
        <f t="shared" si="11"/>
        <v>A.E 2</v>
      </c>
      <c r="AA34" s="19">
        <f t="shared" si="12"/>
        <v>31</v>
      </c>
      <c r="AB34" s="7"/>
      <c r="AC34" s="6"/>
    </row>
    <row r="35" spans="2:29" ht="37.5">
      <c r="B35" s="13">
        <v>28</v>
      </c>
      <c r="C35" s="8" t="s">
        <v>41</v>
      </c>
      <c r="D35" s="8"/>
      <c r="E35" s="14" t="s">
        <v>53</v>
      </c>
      <c r="F35" s="15">
        <v>33</v>
      </c>
      <c r="G35" s="16" t="str">
        <f t="shared" si="0"/>
        <v>4</v>
      </c>
      <c r="H35" s="15">
        <v>56</v>
      </c>
      <c r="I35" s="16" t="str">
        <f t="shared" si="1"/>
        <v>5</v>
      </c>
      <c r="J35" s="15">
        <v>8</v>
      </c>
      <c r="K35" s="16" t="str">
        <f t="shared" si="2"/>
        <v>1</v>
      </c>
      <c r="L35" s="15">
        <v>28</v>
      </c>
      <c r="M35" s="16" t="str">
        <f t="shared" si="3"/>
        <v>3</v>
      </c>
      <c r="N35" s="15">
        <v>24</v>
      </c>
      <c r="O35" s="16" t="str">
        <f t="shared" si="4"/>
        <v>3</v>
      </c>
      <c r="P35" s="15">
        <v>27</v>
      </c>
      <c r="Q35" s="16" t="str">
        <f t="shared" si="5"/>
        <v>3</v>
      </c>
      <c r="R35" s="15">
        <v>20</v>
      </c>
      <c r="S35" s="16" t="str">
        <f t="shared" si="6"/>
        <v>2</v>
      </c>
      <c r="T35" s="15">
        <v>19</v>
      </c>
      <c r="U35" s="16" t="str">
        <f t="shared" si="7"/>
        <v>2</v>
      </c>
      <c r="V35" s="15">
        <v>30</v>
      </c>
      <c r="W35" s="16" t="str">
        <f t="shared" si="8"/>
        <v>3</v>
      </c>
      <c r="X35" s="16">
        <f t="shared" si="9"/>
        <v>245</v>
      </c>
      <c r="Y35" s="17">
        <f t="shared" si="10"/>
        <v>26</v>
      </c>
      <c r="Z35" s="18" t="str">
        <f t="shared" si="11"/>
        <v>A.E 2</v>
      </c>
      <c r="AA35" s="19">
        <f t="shared" si="12"/>
        <v>24</v>
      </c>
      <c r="AB35" s="7"/>
      <c r="AC35" s="6"/>
    </row>
    <row r="36" spans="2:29" ht="37.5">
      <c r="B36" s="13">
        <v>29</v>
      </c>
      <c r="C36" s="8" t="s">
        <v>42</v>
      </c>
      <c r="D36" s="8"/>
      <c r="E36" s="14" t="s">
        <v>73</v>
      </c>
      <c r="F36" s="15">
        <v>48</v>
      </c>
      <c r="G36" s="16" t="str">
        <f t="shared" si="0"/>
        <v>5</v>
      </c>
      <c r="H36" s="15">
        <v>65</v>
      </c>
      <c r="I36" s="16" t="str">
        <f t="shared" si="1"/>
        <v>6</v>
      </c>
      <c r="J36" s="15">
        <v>21</v>
      </c>
      <c r="K36" s="16" t="str">
        <f t="shared" si="2"/>
        <v>3</v>
      </c>
      <c r="L36" s="15">
        <v>35</v>
      </c>
      <c r="M36" s="16" t="str">
        <f t="shared" si="3"/>
        <v>4</v>
      </c>
      <c r="N36" s="15">
        <v>69</v>
      </c>
      <c r="O36" s="16" t="str">
        <f t="shared" si="4"/>
        <v>6</v>
      </c>
      <c r="P36" s="15">
        <v>36</v>
      </c>
      <c r="Q36" s="16" t="str">
        <f t="shared" si="5"/>
        <v>4</v>
      </c>
      <c r="R36" s="15">
        <v>0</v>
      </c>
      <c r="S36" s="16" t="str">
        <f t="shared" si="6"/>
        <v>1</v>
      </c>
      <c r="T36" s="15">
        <v>41</v>
      </c>
      <c r="U36" s="16" t="str">
        <f t="shared" si="7"/>
        <v>5</v>
      </c>
      <c r="V36" s="15">
        <v>35</v>
      </c>
      <c r="W36" s="16" t="str">
        <f t="shared" si="8"/>
        <v>4</v>
      </c>
      <c r="X36" s="16">
        <f t="shared" si="9"/>
        <v>350</v>
      </c>
      <c r="Y36" s="17">
        <f t="shared" si="10"/>
        <v>38</v>
      </c>
      <c r="Z36" s="18" t="str">
        <f t="shared" si="11"/>
        <v>M.E 2</v>
      </c>
      <c r="AA36" s="19">
        <f t="shared" si="12"/>
        <v>16</v>
      </c>
      <c r="AB36" s="7"/>
      <c r="AC36" s="6"/>
    </row>
    <row r="37" spans="2:29" ht="37.5">
      <c r="B37" s="13">
        <v>30</v>
      </c>
      <c r="C37" s="8" t="s">
        <v>43</v>
      </c>
      <c r="D37" s="8"/>
      <c r="E37" s="14" t="s">
        <v>52</v>
      </c>
      <c r="F37" s="15">
        <v>46</v>
      </c>
      <c r="G37" s="16" t="str">
        <f t="shared" si="0"/>
        <v>5</v>
      </c>
      <c r="H37" s="15">
        <v>63</v>
      </c>
      <c r="I37" s="16" t="str">
        <f t="shared" si="1"/>
        <v>6</v>
      </c>
      <c r="J37" s="15">
        <v>8</v>
      </c>
      <c r="K37" s="16" t="str">
        <f t="shared" si="2"/>
        <v>1</v>
      </c>
      <c r="L37" s="15">
        <v>37</v>
      </c>
      <c r="M37" s="16" t="str">
        <f t="shared" si="3"/>
        <v>4</v>
      </c>
      <c r="N37" s="15">
        <v>43</v>
      </c>
      <c r="O37" s="16" t="str">
        <f t="shared" si="4"/>
        <v>5</v>
      </c>
      <c r="P37" s="15">
        <v>20</v>
      </c>
      <c r="Q37" s="16" t="str">
        <f t="shared" si="5"/>
        <v>2</v>
      </c>
      <c r="R37" s="15">
        <v>29</v>
      </c>
      <c r="S37" s="16" t="str">
        <f t="shared" si="6"/>
        <v>3</v>
      </c>
      <c r="T37" s="15">
        <v>26</v>
      </c>
      <c r="U37" s="16" t="str">
        <f t="shared" si="7"/>
        <v>3</v>
      </c>
      <c r="V37" s="15">
        <v>29</v>
      </c>
      <c r="W37" s="16" t="str">
        <f t="shared" si="8"/>
        <v>3</v>
      </c>
      <c r="X37" s="16">
        <f t="shared" si="9"/>
        <v>301</v>
      </c>
      <c r="Y37" s="17">
        <f t="shared" si="10"/>
        <v>32</v>
      </c>
      <c r="Z37" s="18" t="str">
        <f t="shared" si="11"/>
        <v>A.E 1</v>
      </c>
      <c r="AA37" s="19">
        <f t="shared" si="12"/>
        <v>21</v>
      </c>
      <c r="AB37" s="7"/>
      <c r="AC37" s="6"/>
    </row>
    <row r="38" spans="2:29" ht="37.5">
      <c r="B38" s="13">
        <v>31</v>
      </c>
      <c r="C38" s="8" t="s">
        <v>44</v>
      </c>
      <c r="D38" s="8"/>
      <c r="E38" s="14" t="s">
        <v>51</v>
      </c>
      <c r="F38" s="15">
        <v>20</v>
      </c>
      <c r="G38" s="16" t="str">
        <f t="shared" si="0"/>
        <v>2</v>
      </c>
      <c r="H38" s="15">
        <v>33</v>
      </c>
      <c r="I38" s="16" t="str">
        <f t="shared" si="1"/>
        <v>4</v>
      </c>
      <c r="J38" s="15">
        <v>8</v>
      </c>
      <c r="K38" s="16" t="str">
        <f t="shared" si="2"/>
        <v>1</v>
      </c>
      <c r="L38" s="15">
        <v>28</v>
      </c>
      <c r="M38" s="16" t="str">
        <f t="shared" si="3"/>
        <v>3</v>
      </c>
      <c r="N38" s="15">
        <v>30</v>
      </c>
      <c r="O38" s="16" t="str">
        <f t="shared" si="4"/>
        <v>3</v>
      </c>
      <c r="P38" s="15">
        <v>12</v>
      </c>
      <c r="Q38" s="16" t="str">
        <f t="shared" si="5"/>
        <v>2</v>
      </c>
      <c r="R38" s="15">
        <v>13</v>
      </c>
      <c r="S38" s="16" t="str">
        <f t="shared" si="6"/>
        <v>2</v>
      </c>
      <c r="T38" s="15">
        <v>28</v>
      </c>
      <c r="U38" s="16" t="str">
        <f t="shared" si="7"/>
        <v>3</v>
      </c>
      <c r="V38" s="15">
        <v>23</v>
      </c>
      <c r="W38" s="16" t="str">
        <f t="shared" si="8"/>
        <v>3</v>
      </c>
      <c r="X38" s="16">
        <f t="shared" si="9"/>
        <v>195</v>
      </c>
      <c r="Y38" s="17">
        <f t="shared" si="10"/>
        <v>23</v>
      </c>
      <c r="Z38" s="18" t="str">
        <f t="shared" si="11"/>
        <v>A.E 2</v>
      </c>
      <c r="AA38" s="19">
        <f t="shared" si="12"/>
        <v>27</v>
      </c>
      <c r="AB38" s="7"/>
      <c r="AC38" s="6"/>
    </row>
    <row r="39" spans="2:29" ht="37.5">
      <c r="B39" s="13">
        <v>32</v>
      </c>
      <c r="C39" s="8" t="s">
        <v>69</v>
      </c>
      <c r="D39" s="8"/>
      <c r="E39" s="14" t="s">
        <v>70</v>
      </c>
      <c r="F39" s="15">
        <v>76</v>
      </c>
      <c r="G39" s="16" t="str">
        <f t="shared" si="0"/>
        <v>7</v>
      </c>
      <c r="H39" s="15">
        <v>73</v>
      </c>
      <c r="I39" s="16" t="str">
        <f t="shared" si="1"/>
        <v>6</v>
      </c>
      <c r="J39" s="15">
        <v>78</v>
      </c>
      <c r="K39" s="16" t="str">
        <f t="shared" si="2"/>
        <v>7</v>
      </c>
      <c r="L39" s="15">
        <v>74</v>
      </c>
      <c r="M39" s="16" t="str">
        <f t="shared" si="3"/>
        <v>6</v>
      </c>
      <c r="N39" s="15">
        <v>88</v>
      </c>
      <c r="O39" s="16" t="str">
        <f t="shared" si="4"/>
        <v>7</v>
      </c>
      <c r="P39" s="15">
        <v>74</v>
      </c>
      <c r="Q39" s="16" t="str">
        <f t="shared" si="5"/>
        <v>6</v>
      </c>
      <c r="R39" s="15">
        <v>85</v>
      </c>
      <c r="S39" s="16" t="str">
        <f t="shared" si="6"/>
        <v>7</v>
      </c>
      <c r="T39" s="15">
        <v>80</v>
      </c>
      <c r="U39" s="16" t="str">
        <f t="shared" si="7"/>
        <v>7</v>
      </c>
      <c r="V39" s="15">
        <v>83</v>
      </c>
      <c r="W39" s="16" t="str">
        <f t="shared" si="8"/>
        <v>7</v>
      </c>
      <c r="X39" s="16">
        <f t="shared" si="9"/>
        <v>711</v>
      </c>
      <c r="Y39" s="17">
        <f t="shared" si="10"/>
        <v>60</v>
      </c>
      <c r="Z39" s="18" t="str">
        <f t="shared" si="11"/>
        <v>E.E 2</v>
      </c>
      <c r="AA39" s="19">
        <f t="shared" si="12"/>
        <v>2</v>
      </c>
      <c r="AB39" s="7"/>
      <c r="AC39" s="6"/>
    </row>
    <row r="40" spans="2:29" ht="37.5">
      <c r="B40" s="13">
        <v>33</v>
      </c>
      <c r="C40" s="8" t="s">
        <v>65</v>
      </c>
      <c r="D40" s="8"/>
      <c r="E40" s="14" t="s">
        <v>66</v>
      </c>
      <c r="F40" s="28">
        <v>0</v>
      </c>
      <c r="G40" s="16" t="str">
        <f t="shared" si="0"/>
        <v>1</v>
      </c>
      <c r="H40" s="28">
        <v>0</v>
      </c>
      <c r="I40" s="16" t="str">
        <f t="shared" si="1"/>
        <v>1</v>
      </c>
      <c r="J40" s="28">
        <v>0</v>
      </c>
      <c r="K40" s="16" t="str">
        <f t="shared" si="2"/>
        <v>1</v>
      </c>
      <c r="L40" s="28">
        <v>0</v>
      </c>
      <c r="M40" s="16" t="str">
        <f t="shared" si="3"/>
        <v>1</v>
      </c>
      <c r="N40" s="28">
        <v>0</v>
      </c>
      <c r="O40" s="16" t="str">
        <f t="shared" si="4"/>
        <v>1</v>
      </c>
      <c r="P40" s="28">
        <v>0</v>
      </c>
      <c r="Q40" s="16" t="str">
        <f t="shared" si="5"/>
        <v>1</v>
      </c>
      <c r="R40" s="28">
        <v>0</v>
      </c>
      <c r="S40" s="16" t="str">
        <f t="shared" si="6"/>
        <v>1</v>
      </c>
      <c r="T40" s="28">
        <v>0</v>
      </c>
      <c r="U40" s="16" t="str">
        <f t="shared" si="7"/>
        <v>1</v>
      </c>
      <c r="V40" s="28">
        <v>0</v>
      </c>
      <c r="W40" s="16" t="str">
        <f t="shared" si="8"/>
        <v>1</v>
      </c>
      <c r="X40" s="16">
        <f t="shared" si="9"/>
        <v>0</v>
      </c>
      <c r="Y40" s="17">
        <f t="shared" si="10"/>
        <v>9</v>
      </c>
      <c r="Z40" s="18" t="str">
        <f t="shared" si="11"/>
        <v>B.E 1</v>
      </c>
      <c r="AA40" s="19">
        <f t="shared" si="12"/>
        <v>33</v>
      </c>
      <c r="AB40" s="7"/>
      <c r="AC40" s="6"/>
    </row>
    <row r="41" spans="2:29" ht="37.5">
      <c r="B41" s="13">
        <v>34</v>
      </c>
      <c r="C41" s="8" t="s">
        <v>67</v>
      </c>
      <c r="D41" s="8"/>
      <c r="E41" s="14" t="s">
        <v>68</v>
      </c>
      <c r="F41" s="28">
        <v>0</v>
      </c>
      <c r="G41" s="16" t="str">
        <f t="shared" si="0"/>
        <v>1</v>
      </c>
      <c r="H41" s="28">
        <v>0</v>
      </c>
      <c r="I41" s="16" t="str">
        <f t="shared" si="1"/>
        <v>1</v>
      </c>
      <c r="J41" s="28">
        <v>0</v>
      </c>
      <c r="K41" s="16" t="str">
        <f t="shared" si="2"/>
        <v>1</v>
      </c>
      <c r="L41" s="28">
        <v>0</v>
      </c>
      <c r="M41" s="16" t="str">
        <f t="shared" si="3"/>
        <v>1</v>
      </c>
      <c r="N41" s="28">
        <v>0</v>
      </c>
      <c r="O41" s="16" t="str">
        <f t="shared" si="4"/>
        <v>1</v>
      </c>
      <c r="P41" s="28">
        <v>0</v>
      </c>
      <c r="Q41" s="16" t="str">
        <f t="shared" si="5"/>
        <v>1</v>
      </c>
      <c r="R41" s="28">
        <v>0</v>
      </c>
      <c r="S41" s="16" t="str">
        <f t="shared" si="6"/>
        <v>1</v>
      </c>
      <c r="T41" s="28">
        <v>0</v>
      </c>
      <c r="U41" s="16" t="str">
        <f t="shared" si="7"/>
        <v>1</v>
      </c>
      <c r="V41" s="28">
        <v>0</v>
      </c>
      <c r="W41" s="16" t="str">
        <f t="shared" si="8"/>
        <v>1</v>
      </c>
      <c r="X41" s="16">
        <f t="shared" si="9"/>
        <v>0</v>
      </c>
      <c r="Y41" s="17">
        <f t="shared" si="10"/>
        <v>9</v>
      </c>
      <c r="Z41" s="18" t="str">
        <f t="shared" si="11"/>
        <v>B.E 1</v>
      </c>
      <c r="AA41" s="19">
        <f t="shared" si="12"/>
        <v>33</v>
      </c>
      <c r="AB41" s="7"/>
      <c r="AC41" s="6"/>
    </row>
    <row r="42" spans="2:29" ht="37.5">
      <c r="B42" s="13">
        <v>35</v>
      </c>
      <c r="C42" s="8" t="s">
        <v>87</v>
      </c>
      <c r="D42" s="8"/>
      <c r="E42" s="7"/>
      <c r="F42" s="28">
        <v>22</v>
      </c>
      <c r="G42" s="16" t="str">
        <f t="shared" si="0"/>
        <v>3</v>
      </c>
      <c r="H42" s="28">
        <v>27</v>
      </c>
      <c r="I42" s="16" t="str">
        <f t="shared" si="1"/>
        <v>3</v>
      </c>
      <c r="J42" s="28">
        <v>11</v>
      </c>
      <c r="K42" s="16" t="str">
        <f t="shared" si="2"/>
        <v>2</v>
      </c>
      <c r="L42" s="28">
        <v>20</v>
      </c>
      <c r="M42" s="16" t="str">
        <f t="shared" si="3"/>
        <v>2</v>
      </c>
      <c r="N42" s="28">
        <v>18</v>
      </c>
      <c r="O42" s="16" t="str">
        <f t="shared" si="4"/>
        <v>2</v>
      </c>
      <c r="P42" s="28">
        <v>9</v>
      </c>
      <c r="Q42" s="16" t="str">
        <f t="shared" si="5"/>
        <v>1</v>
      </c>
      <c r="R42" s="28">
        <v>17</v>
      </c>
      <c r="S42" s="16" t="str">
        <f t="shared" si="6"/>
        <v>2</v>
      </c>
      <c r="T42" s="28">
        <v>14</v>
      </c>
      <c r="U42" s="16" t="str">
        <f t="shared" si="7"/>
        <v>2</v>
      </c>
      <c r="V42" s="28">
        <v>15</v>
      </c>
      <c r="W42" s="16" t="str">
        <f t="shared" si="8"/>
        <v>2</v>
      </c>
      <c r="X42" s="16">
        <f t="shared" si="9"/>
        <v>153</v>
      </c>
      <c r="Y42" s="17">
        <f t="shared" si="10"/>
        <v>19</v>
      </c>
      <c r="Z42" s="18" t="str">
        <f t="shared" si="11"/>
        <v>A.E 2</v>
      </c>
      <c r="AA42" s="19">
        <f t="shared" si="12"/>
        <v>29</v>
      </c>
      <c r="AB42" s="7"/>
      <c r="AC42" s="6"/>
    </row>
    <row r="43" spans="2:29" ht="36">
      <c r="B43" s="13">
        <v>36</v>
      </c>
      <c r="C43" s="7"/>
      <c r="D43" s="7"/>
      <c r="E43" s="7"/>
      <c r="F43" s="7"/>
      <c r="G43" s="1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6"/>
    </row>
    <row r="44" spans="2:29">
      <c r="B44" s="3"/>
    </row>
    <row r="45" spans="2:29">
      <c r="B45" s="3"/>
    </row>
    <row r="61" spans="8:28">
      <c r="H61" s="1"/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4"/>
      <c r="Z61" s="2"/>
      <c r="AA61" s="4"/>
      <c r="AB61" s="4"/>
    </row>
  </sheetData>
  <mergeCells count="5">
    <mergeCell ref="X5:X6"/>
    <mergeCell ref="Y5:Y6"/>
    <mergeCell ref="Z5:Z6"/>
    <mergeCell ref="AA5:AA6"/>
    <mergeCell ref="C6:D7"/>
  </mergeCells>
  <pageMargins left="0.25" right="0.25" top="0.75" bottom="0.75" header="0.3" footer="0.3"/>
  <pageSetup paperSize="9" scale="32" orientation="landscape" r:id="rId1"/>
  <colBreaks count="1" manualBreakCount="1">
    <brk id="2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2025-09-12T19:17:23Z</cp:lastPrinted>
  <dcterms:created xsi:type="dcterms:W3CDTF">2025-01-27T16:48:56Z</dcterms:created>
  <dcterms:modified xsi:type="dcterms:W3CDTF">2025-09-17T14:50:34Z</dcterms:modified>
</cp:coreProperties>
</file>